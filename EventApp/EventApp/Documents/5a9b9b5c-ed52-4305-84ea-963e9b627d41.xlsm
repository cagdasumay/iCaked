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4.xml" ContentType="application/vnd.ms-excel.controlproperties+xml"/>
  <Override PartName="/xl/ctrlProps/ctrlProp3.xml" ContentType="application/vnd.ms-excel.controlproperties+xml"/>
  <Override PartName="/xl/tables/table5.xml" ContentType="application/vnd.openxmlformats-officedocument.spreadsheetml.table+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20" yWindow="72" windowWidth="17160" windowHeight="8256"/>
  </bookViews>
  <sheets>
    <sheet name="ARAMA" sheetId="1" r:id="rId1"/>
    <sheet name="Musteri" sheetId="2" r:id="rId2"/>
    <sheet name="Genel Bilgiler" sheetId="3" r:id="rId3"/>
    <sheet name="Teklifler" sheetId="4" r:id="rId4"/>
    <sheet name="Siparisler" sheetId="6" r:id="rId5"/>
    <sheet name="Gorusmeler" sheetId="5" r:id="rId6"/>
  </sheets>
  <calcPr calcId="125725"/>
</workbook>
</file>

<file path=xl/calcChain.xml><?xml version="1.0" encoding="utf-8"?>
<calcChain xmlns="http://schemas.openxmlformats.org/spreadsheetml/2006/main">
  <c r="B42" i="1"/>
  <c r="B38"/>
  <c r="B34"/>
  <c r="B67" l="1"/>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66"/>
  <c r="I37" i="6"/>
  <c r="I74"/>
  <c r="I9"/>
</calcChain>
</file>

<file path=xl/sharedStrings.xml><?xml version="1.0" encoding="utf-8"?>
<sst xmlns="http://schemas.openxmlformats.org/spreadsheetml/2006/main" count="1432" uniqueCount="677">
  <si>
    <t>Royal Maket</t>
  </si>
  <si>
    <t>İstanbul</t>
  </si>
  <si>
    <t>www.royalmaket.com</t>
  </si>
  <si>
    <t>LED Renk Tercihi</t>
  </si>
  <si>
    <t>LED Renk duyarlılığı</t>
  </si>
  <si>
    <t>Sistem Tercihi</t>
  </si>
  <si>
    <t>Sistem Yorumu</t>
  </si>
  <si>
    <t>Fiyat Duyarlılığı</t>
  </si>
  <si>
    <t>Fiyat Yorumu</t>
  </si>
  <si>
    <t>Müşteri Genel Yorumu</t>
  </si>
  <si>
    <t xml:space="preserve">Hareketli Maket İsteği </t>
  </si>
  <si>
    <t>Diğer İstekler</t>
  </si>
  <si>
    <t>Hizmet Yorumu</t>
  </si>
  <si>
    <t>Bizim Yorumumuz</t>
  </si>
  <si>
    <t>Diğer</t>
  </si>
  <si>
    <t>Günışığı-Beyaz</t>
  </si>
  <si>
    <t>Var</t>
  </si>
  <si>
    <t>WebApp</t>
  </si>
  <si>
    <t>Kullanışlı pratik buldular</t>
  </si>
  <si>
    <t>Pek yok</t>
  </si>
  <si>
    <t>Yorum yapmadılar, memnun gibi</t>
  </si>
  <si>
    <t>Beğendiler</t>
  </si>
  <si>
    <t>Yok</t>
  </si>
  <si>
    <t>Teknik Hizmet, Kurulum isteyecek</t>
  </si>
  <si>
    <t>Devamlı müşteri olabilir</t>
  </si>
  <si>
    <t>Teklif Tarihi</t>
  </si>
  <si>
    <t>Sistem</t>
  </si>
  <si>
    <t>Kart Adedi</t>
  </si>
  <si>
    <t>LED adedi</t>
  </si>
  <si>
    <t>LED Tipi</t>
  </si>
  <si>
    <t>Kart Birim Fiyat</t>
  </si>
  <si>
    <t>LED Birim Fiyat</t>
  </si>
  <si>
    <t xml:space="preserve">Toplam Teklif Tutarı </t>
  </si>
  <si>
    <t>Kur</t>
  </si>
  <si>
    <t>Durum</t>
  </si>
  <si>
    <t>Sipariş Tarihi</t>
  </si>
  <si>
    <t>Müşteri</t>
  </si>
  <si>
    <t>Adres</t>
  </si>
  <si>
    <t>Telefon No</t>
  </si>
  <si>
    <t>Web Sitesi</t>
  </si>
  <si>
    <t>İlgili Kişi</t>
  </si>
  <si>
    <t>Şirket Adını Girin</t>
  </si>
  <si>
    <t>Görüşme Tarihi</t>
  </si>
  <si>
    <t>Görüşme Ayrıntısı</t>
  </si>
  <si>
    <t>Tabloya Ekle</t>
  </si>
  <si>
    <t>Atölye 77</t>
  </si>
  <si>
    <t>Marmara Maket</t>
  </si>
  <si>
    <t>RGBW</t>
  </si>
  <si>
    <t>Orta</t>
  </si>
  <si>
    <t>Şerit led olmasını çok sevdiler, pratik buldular</t>
  </si>
  <si>
    <t>Memnun gibi</t>
  </si>
  <si>
    <t>Yok ama yapabilirsiniz talep olur dedi</t>
  </si>
  <si>
    <t>Renk eklemek isteyebilir</t>
  </si>
  <si>
    <t>Devamlı müşteri olur</t>
  </si>
  <si>
    <t>Sistem maket</t>
  </si>
  <si>
    <t>Küçük Atölye</t>
  </si>
  <si>
    <t>Kullanımı rahat dediler. Şerit led olması avantaj</t>
  </si>
  <si>
    <t xml:space="preserve">Biraz maliyetli buldular </t>
  </si>
  <si>
    <t>Sistemi beğendiler</t>
  </si>
  <si>
    <t>sorulmadı</t>
  </si>
  <si>
    <t>Animasyon eklenebilir</t>
  </si>
  <si>
    <t>Belki deneyebilir</t>
  </si>
  <si>
    <t>Maketland</t>
  </si>
  <si>
    <t>RGBW-WWA</t>
  </si>
  <si>
    <t>Önceden beğenmiş zaten</t>
  </si>
  <si>
    <t>Çok iş almaz büyük ihtimalle</t>
  </si>
  <si>
    <t>4. Boyut Maket</t>
  </si>
  <si>
    <t>Yorum yapmadılar, bütün fiyatları aldı</t>
  </si>
  <si>
    <t>Dönüş yapabilir</t>
  </si>
  <si>
    <t>Armi Maket</t>
  </si>
  <si>
    <t>USB den daha rahat bulular</t>
  </si>
  <si>
    <t xml:space="preserve">Eski malettiklerinden daha uygun </t>
  </si>
  <si>
    <t>Memnunlar</t>
  </si>
  <si>
    <t xml:space="preserve">Belki ellerindeki USB yi WebApp e çevirmek istediler. </t>
  </si>
  <si>
    <t>USB de arayüzün çok kullanışlı olmadığını söylediler</t>
  </si>
  <si>
    <t>Excel birkere daha anlatıldı, artık sorunsuz kullanacaklardır</t>
  </si>
  <si>
    <t>Silüet Maket</t>
  </si>
  <si>
    <t>RGB-RGBW-WWA</t>
  </si>
  <si>
    <t>Sadece USB anlatıldı, beğendi</t>
  </si>
  <si>
    <t>Çok fazla</t>
  </si>
  <si>
    <t>Fiyatların piyasa genel içinde yüksek olduğunu söyledi</t>
  </si>
  <si>
    <t>olabilir dedi</t>
  </si>
  <si>
    <t>İş gelmeyecektir, eski ortağı anlıyormuş bu işlerden. Bu adam büyük ihtimalle kullanmaz</t>
  </si>
  <si>
    <t>Ateş Maket</t>
  </si>
  <si>
    <t>RGB-RGBW</t>
  </si>
  <si>
    <t>Beğendi</t>
  </si>
  <si>
    <t>saatlerce pazarlık yaptı :)</t>
  </si>
  <si>
    <t>Bir daha satış yapılmayacak.</t>
  </si>
  <si>
    <t>Arı Mimari Maket</t>
  </si>
  <si>
    <t>var</t>
  </si>
  <si>
    <t>USB</t>
  </si>
  <si>
    <t>Teknik Hizmet isteyebilir, önceden otomasyon yapmamış</t>
  </si>
  <si>
    <t>USB ve Wifi için teklif gönderilmiş</t>
  </si>
  <si>
    <t>İstanbul Maket</t>
  </si>
  <si>
    <t>olabilir</t>
  </si>
  <si>
    <t>Led döşeme ve kurulum için kapsamlı teknik hizmet istiyor.</t>
  </si>
  <si>
    <t>Çok fazla işleri var, hizmetten memnun kalırlarsa devamlı müşteri olabilir.</t>
  </si>
  <si>
    <t>Tasarım Maket</t>
  </si>
  <si>
    <t>RGB</t>
  </si>
  <si>
    <t>Yeni sistemi bilmiyorlar, WebApp anlatılması lazım. Görüşmede fiyat ve LED bilgisi alınmalı</t>
  </si>
  <si>
    <t>Megaron Maket</t>
  </si>
  <si>
    <t>USB-WebApp olabilir</t>
  </si>
  <si>
    <t>Şerit led olmasını çok sevdiler</t>
  </si>
  <si>
    <t>Ledler için indirim isteyecek</t>
  </si>
  <si>
    <t>Çok beğendiler</t>
  </si>
  <si>
    <t xml:space="preserve">Animasyon ve renk ekleyebilir </t>
  </si>
  <si>
    <t>Küçük bi firma çok fazla iş alamayabilir</t>
  </si>
  <si>
    <t>Modelart Maket</t>
  </si>
  <si>
    <t>Fiyat yüksek dedi</t>
  </si>
  <si>
    <t>prototip denemek istiyor</t>
  </si>
  <si>
    <t>belki dönüş yapabilirler.</t>
  </si>
  <si>
    <t>Arte Maket</t>
  </si>
  <si>
    <t>Fiyatta indirim isteyecek</t>
  </si>
  <si>
    <t xml:space="preserve">YDA nın projesi yapılamaz diyen </t>
  </si>
  <si>
    <t>3D Maketci</t>
  </si>
  <si>
    <t xml:space="preserve">Armi maketin arkadaşıymış, denenmiş olandan da görmek isterim dedi. </t>
  </si>
  <si>
    <t xml:space="preserve">Model Maket Atölyesi </t>
  </si>
  <si>
    <t xml:space="preserve">Zaten ucuza yaptırıyor eski sistemde </t>
  </si>
  <si>
    <t>ARC Maket Evi</t>
  </si>
  <si>
    <t>Yoklardı mail atıldı, broşür bırakıldı</t>
  </si>
  <si>
    <t xml:space="preserve">Royal Maket </t>
  </si>
  <si>
    <t xml:space="preserve">Ucuz ve kullanışlı buldu. </t>
  </si>
  <si>
    <t xml:space="preserve">Yok </t>
  </si>
  <si>
    <t>Fiyatı iyi geldi</t>
  </si>
  <si>
    <t xml:space="preserve">Devamlı müşteri </t>
  </si>
  <si>
    <t>Maket Şehir</t>
  </si>
  <si>
    <t>Maliyetli buldu biraz</t>
  </si>
  <si>
    <t>İlgilendiler</t>
  </si>
  <si>
    <t>Görüşmek lazım</t>
  </si>
  <si>
    <t>Sihirli Maket</t>
  </si>
  <si>
    <t xml:space="preserve">Maketronik </t>
  </si>
  <si>
    <t xml:space="preserve">Mimar Maket </t>
  </si>
  <si>
    <t>Mimari Maket</t>
  </si>
  <si>
    <t>Onur Maket</t>
  </si>
  <si>
    <t>Urfa Maket</t>
  </si>
  <si>
    <t>Pozitif Maket</t>
  </si>
  <si>
    <t>Vektör Maket</t>
  </si>
  <si>
    <t>Delta Maket</t>
  </si>
  <si>
    <t>Bilka Maket</t>
  </si>
  <si>
    <t>Mimari Maket iZMİR</t>
  </si>
  <si>
    <t xml:space="preserve">Yapı Maketleri </t>
  </si>
  <si>
    <t>Selvi Maket</t>
  </si>
  <si>
    <t>Manhattan Mimari Maket</t>
  </si>
  <si>
    <t>Mina Maket</t>
  </si>
  <si>
    <t>Çınar Maket</t>
  </si>
  <si>
    <t>Avcı Maket</t>
  </si>
  <si>
    <t>Mavi Maket</t>
  </si>
  <si>
    <t>Lina Maket</t>
  </si>
  <si>
    <t>Atölye K- Gürol Mimarlık</t>
  </si>
  <si>
    <t>Atölye 86</t>
  </si>
  <si>
    <t>3D Medya</t>
  </si>
  <si>
    <t>Sanat Maket</t>
  </si>
  <si>
    <t>Maker Maket</t>
  </si>
  <si>
    <t>Obje Maket</t>
  </si>
  <si>
    <t>Beğenilir Grup</t>
  </si>
  <si>
    <t>Atölye 250</t>
  </si>
  <si>
    <t>Atölye 96</t>
  </si>
  <si>
    <t>Atölye 78</t>
  </si>
  <si>
    <t>Proma Yapı</t>
  </si>
  <si>
    <t>Mimarbey</t>
  </si>
  <si>
    <t>Kudat Maket</t>
  </si>
  <si>
    <t>Atölye 360</t>
  </si>
  <si>
    <t>Beyaz Maket</t>
  </si>
  <si>
    <t>Anatolia Maket</t>
  </si>
  <si>
    <t>İntegral Maket</t>
  </si>
  <si>
    <t>Patyo Mimari Stüdyo</t>
  </si>
  <si>
    <t xml:space="preserve">Form Mimari Maket </t>
  </si>
  <si>
    <t>Mukarnas Maket</t>
  </si>
  <si>
    <t>Azu Mimarlık Maket</t>
  </si>
  <si>
    <t>Maketia</t>
  </si>
  <si>
    <t xml:space="preserve">Maket Evi </t>
  </si>
  <si>
    <t>İstanbul Yapı Maket</t>
  </si>
  <si>
    <t>Çizgi Maket</t>
  </si>
  <si>
    <t>Teknik Maket</t>
  </si>
  <si>
    <t>Maket Grup</t>
  </si>
  <si>
    <t>Vizyon Maket</t>
  </si>
  <si>
    <t>30 Led/m RGB</t>
  </si>
  <si>
    <t>Tamamlandı</t>
  </si>
  <si>
    <t>60 Led/m RGB</t>
  </si>
  <si>
    <t>Gönderildi - Ödemenin Kalanı Bekleniyor</t>
  </si>
  <si>
    <t>Kalyon Model</t>
  </si>
  <si>
    <t>Fatura Gönderildi - Ödeme Bekleniyor</t>
  </si>
  <si>
    <t>100 LED Kart</t>
  </si>
  <si>
    <t>-</t>
  </si>
  <si>
    <t>Sözleşme İmzalandı</t>
  </si>
  <si>
    <t>Teklif No</t>
  </si>
  <si>
    <t>Sipariş No</t>
  </si>
  <si>
    <t>Boyut Maket</t>
  </si>
  <si>
    <t>LED Ekranlı Animasyon</t>
  </si>
  <si>
    <t>Model Maket</t>
  </si>
  <si>
    <t>09.02.2016</t>
  </si>
  <si>
    <t>Mehmet Şeker ile görüşüldü, daha önce de görüşülmüş İstanbula gelirseniz yüzyüze daha iyi olur dedi. Adam mimar olduğu için bu konuda pek bilgili değil, birine yaptırıyormuş devamlı. Ankarada KUZU ile çalışıyormuş, Ankaraya gelirse de görüşmeye gelebilir. İlgilerini çekmiş mail attılar, fiyat listesi iletildi. Anlamadıkları yerler olmuş ya da pazarlık yapmak istiyorlar onun için yüzyüze konuşmak istediler, kendileri gelemezse İstanbul'a bekliyorlar.</t>
  </si>
  <si>
    <t xml:space="preserve">Marmara Maket </t>
  </si>
  <si>
    <t>12.05.2016</t>
  </si>
  <si>
    <t xml:space="preserve">Sahibi ve ortağı Yasin Bey ile görüşüldü. Satış yapılmıştı sistem maket üzerinde anlatıldı. Hareketli maket gerçekci olmadığı için kullanmayacaklarını söylediler ama yapın çok talep var dediler. Renk duyarlılıkları az. Maket üstünde renk deneyip eklememiz için raspberry yi gönderebilirler. Fiyattan memnunlar. </t>
  </si>
  <si>
    <t xml:space="preserve">Küçük Atölye </t>
  </si>
  <si>
    <t xml:space="preserve">12.05.2016 </t>
  </si>
  <si>
    <t>Eski sistemle birkaç otomasyon yapmışlar, 30 luk kartlarla. İki ortak çalışıyorlar, biraz ters insanlar. Önceki sistemi arkadaşlarına yaptırdıkları için çok ucuza maletmişler Androidmiş ama 120 daire 600TL civarı. Bizim sistemimizi beğendiler, basit kullanımı kolay dediler. Ledleri de beğendiler. Renk olarak günışığı ve beyaz kullanırlar</t>
  </si>
  <si>
    <t xml:space="preserve">Maketland </t>
  </si>
  <si>
    <t xml:space="preserve">Daha önce yüzyüze görüşülmüş sistem gösterilmiş.Önceki sistemi zaten beğenmiş ama bunu daha çok beğendi. Renk duyarlılığı orta. Ama çok iş almaz büyük ihtimalle. </t>
  </si>
  <si>
    <t>Sistem Maket</t>
  </si>
  <si>
    <t xml:space="preserve"> Emrah Bey ile görüşüldü. Bilgilendirme için mail atıldı. İlgilenirlerse dönüş yapacaklarını söylediler.</t>
  </si>
  <si>
    <t xml:space="preserve">Önceden  telefonla görüşülmüş.Firma sahibi Nuray Şen ve atölye sorumlusu ile görüşüldü, sistem maket üzerinde anlatıldı. Ledleri ve sistemi beğendiler Fiyat yorumu: ortadalar. Led tercihleri büyük olasılıkla RGBW olacak. Diğer ledler içinde fiyat aldı. RGB-0.50, WWA-0.60, RGBW-075. </t>
  </si>
  <si>
    <t>12.12.2015</t>
  </si>
  <si>
    <t xml:space="preserve"> Telefonla görüşüldü, Anlatıldı mail atıldı. Beğendi bir önceki 1000'lik projesini 10.000 TL ödemiş. Daha ucuza yapılır dendi.</t>
  </si>
  <si>
    <t>04.02.2015</t>
  </si>
  <si>
    <t xml:space="preserve"> Daha önce telefonda görüşülmüştü. Yüzyüze USB sistem üzerinden anlatıldı. Sahibi Celal Bey ile görüşülüdü, ürünü çok beğendiler ancak maliyeti yüksek buldular, büyük bir proje alabilirlerse kullanacaklardır, ufak projelerde kullanılması için maliyetin baya indirilmesi gerekiyor.</t>
  </si>
  <si>
    <t xml:space="preserve"> Telefonda görüşülmüş. Şu anda teklif aşamasında projeleri varmış. Olursa inceleyip dönüş yapacaklarını söylediler. Mail atıldı. </t>
  </si>
  <si>
    <t>Sezgin Bey ile göüşüldü, müşteriler para ödemek istemedikleri için bunları yapmıyorlarmış, bundan önce daire aydınlatması da yapmamışlar. Müşterilere sunarız isteyen olursa irtibata geçeriz mutlaka dedi.</t>
  </si>
  <si>
    <t>13.05.2016</t>
  </si>
  <si>
    <t>Önceden  görüşülmüş, kendileri yapıyordu birşekilde. En büyük maket firmalarından biri.  Yüzyüze görüşüldü maket üzerinden sistem anlatıldı. RGBW ledleri almışlar,WebApp e  benzer yazılımlar satın almışlar bluetooth wifi vs., ama teeknik adam ve zaman yetersizliğinden dolayı kullanamamışlar. Kurulum ve led döşemesi talep ettiler.</t>
  </si>
  <si>
    <t>19.02.2016</t>
  </si>
  <si>
    <t xml:space="preserve"> USB 1900$ kart, RGB  0.75$ da 400 civarı LED için teklif verildi. Tuncel Bey ile görüşüldü. Otomasyon için zaten firma aradıklarını söylediler. Bilgilendirme maili atıldı. Baya ilgilendi. Ankaraya geldiğinde görmek istedi. Fiyat sordu ama yorum yapmadı. Prototip için ara.</t>
  </si>
  <si>
    <t>22.02.2016</t>
  </si>
  <si>
    <t xml:space="preserve"> Teklif hazırlıyorlar, 3000-3300 Dolar civarı olduğu söylendi, teklif aşamasında tekrar arayacaklar. Osman ve Eyyüp ile görüşüldü, ufak bir firma gibi ama büyük iş alma potansiyelleri var. Ürünü çok beğendiler, büyük iş alabilirlerse illaki geleceklerdir. Bundan önce eski tip otomasyon kullanmışlar, öğrencilere yaptırmışlar, iş çıkabilir</t>
  </si>
  <si>
    <t>08.02.2016</t>
  </si>
  <si>
    <t>Prototip için 1000 Dolar dendi, kullanılacak ilk projede bu 1000 Dolar ödenmiş sayılacak kart değişecekti. Daha sonra Emirhan bey ile görüşüldü, ürünü beğendiler denemek için 100LED'lik falan bir prototip istediler, 1500 Dolar'a veriyoruz dedik fiyat yüksek geldi. Bir şekilde bunlara demo yaptırabilirsek iş çıkacaktır. Prototip için tekrar arandı zamanları olmadığından buna hem para hem de vakit ayırmak istemediler, ilk projede alalım direkt kullanalım dediler.</t>
  </si>
  <si>
    <t>Neon LED'lerin metre fiyatına 40$ dendi ama daha da indirilecek. YDA Projesi için 16.000 $ tahmini teklif verildi. Hüseyin Bey ile yüzyüze görüşüldü,  çok ilgilendiler, ürünü çok beğendiler, İstanbul Maket'ten almışlar bundan öncekini ama gidip başka maketçiye neden para kazandırıyım diyor. YDA projesini alma şansları var, 3 ay önce YDA'nın işini yapmışlar. Bunlardan iş çıkacaktır.</t>
  </si>
  <si>
    <t>Firma sahibi Nedim Yılmaz ile görüşüldü, video'ları izlemiş beğenmiş, denemek için ürünü görmek istiyor, prototip günderebiliriz ya da Armi Maket'in yaptığını görmek istiyor, ürünü test edip beğenirse tüm projelerinde kullanacaklarını söyledi. Nedim Bey ile görüşüldü, 1500 Dolardan prototip alabilir, geri dönüş yapacak. Tekrar arandı, toplantı yapıp geri dönecekler. Kullanım kılavuzlarını gönder. Nisan için bir fuarla uğraşıyorlarmış, iş çıktığı gibi sizinle irtibata geçeceğiz numaranızı kaydettim aklımdasınız dedi, Denemeleri için 1500 Dolar'dan teklif verildi, beğenmezlerse para iadesi mümkün.</t>
  </si>
  <si>
    <t>İlgilendiler ama adamlar konuya çok hakim ve aldıkları fiyatlar fena değil. 80'lik kartı 200-250 liraya alıyorlar, yazılıma para ödemiyorlar, çok fazla içini gösteren proje yaptıkları için diğer ürünler de kısmen işlerine yarıyor, mevcut sistemleri telefondan kontrol edebiliyor. Ama beğendiler, iş çıkaracaklardır.</t>
  </si>
  <si>
    <t xml:space="preserve"> Haydar Bey ile görüşüldü. Ellerinde işler varmış, sistemi tam olarak anlatamadım ancak ilgilendiler. Mevcut kullandıkları ürünler 112'lik kartlarmış. İş çıkacaktır tekrar aramalı. Tekrar arandı sistem ile ilgili akıllarında sorular varmış, kullanım kılavuzları mail atıldı, göürşmeye gitmek gerekiyor.</t>
  </si>
  <si>
    <t>05.12.2015</t>
  </si>
  <si>
    <t>Mail atıldı. İlgilendiler ama Onur bey maili kontrol edip arayacak</t>
  </si>
  <si>
    <t>04.02.2016</t>
  </si>
  <si>
    <t xml:space="preserve"> Veysel Bey ile görüşüldü. Firmalar istiyormuş ancak fazla maliyetten dolayı yapamıyorlarmış, en son 1-2 yıl önce 30'lu kart kullanmışlar, 3000 lira + LED'ler falan filan ek maliyetlere yaptırmışlar. Baya ilgilendiler.</t>
  </si>
  <si>
    <t xml:space="preserve"> Pazarlama bölümünden birisi ile görüşüldü, herhangi bir bilgisi yok, teknik bölüme iletilmesi için mail atıldı. Mail teknik bölüme iletilmiş, ihtiyaç oursa arayacaklarmış.</t>
  </si>
  <si>
    <t>Selim Bey ile görüşüldü, adamlar 112'lik kartlar kullanıyormuş toplam 6000-6500'e mal ediyorlarmış. Kendi kartlarıymış, kablolama benim için sorun değil yukarıdan aşağıya sallandırıyorum kalanını firma kendisi hallediyor diyor. Yılda 10 iş falan alıp 2-3 tanesini otomasyonlu yapıyormuş. Prototip alabili sonra beğenirse toplu sipariş de verebilir. Telefonla konuşulduktan sonra tekrar ulaşılamadı, mail atıldı.</t>
  </si>
  <si>
    <t>Mimar Maket</t>
  </si>
  <si>
    <t>Firma sahibi Mustafa Bey ile görüşüldü. Baya ilgilendiler kaliteli bir adamdı. Mail atıldı tekrar görüşülmesinde fayda var, iş çıkacaktır.</t>
  </si>
  <si>
    <t xml:space="preserve"> Orhan Bey ile görüşüldü. Bu işlerle asıl kardeşi Yusuf Bey ilgilenmekte. Armi Maketle ahbaplarmış, baya büyük firma, gayet ilgilendiler, iş çıkacaktır. Eski otomasyonlarını youtube'dan izlediğimiz video'dakinden İstanbul Maket'a yaptırmışlar, fiyatı bizimkinden daha ucuzmuş dediler ama iş çıkacaktır adam kandırıyor olabilir. Prototip önermek için ara.</t>
  </si>
  <si>
    <t xml:space="preserve"> Ramazan Bey firma dışında olduğundan görüşülemedi, mail atıldı. Tekrar aramak gerekir. Arandı. maketle çok fazla ilgilenmiyorlarmış, adam aslında müteahhitmiş. Fiyat söylendi ama muhtemelen pahalı gelmiştir çünkü kendisi ödeyecek. Videoları inceleyecekmiş, gerekirse dönüş yapacak.</t>
  </si>
  <si>
    <t>Ahmet Bey ile görüşüldü. İlgilendiler, herhangi bir iş çıkarsa kesinlikle arayacaklardır.</t>
  </si>
  <si>
    <t xml:space="preserve"> Telefonda anlatılamadı ama mail atıldı, incelemişler. Şu an ellerinde iş yokmuş ama olduğunda arayacaklarını söylediler.</t>
  </si>
  <si>
    <t>05.02.2016</t>
  </si>
  <si>
    <t xml:space="preserve"> İlgilendiler, müşterilere sunacaklarmış talep edildiği taktirde iletişime geçecekler. Hem ürünü hem de onları arayıp bilgilendirmemizi çok sevdiler.</t>
  </si>
  <si>
    <t xml:space="preserve"> Adam çok ilgilendi, biriler var android yapıyorlar falan dedi , bizimkinin çok daha iyi olacağını söyledim, çok büyük bir firma değil gibi ama iş çıkabilir. Prototip önermek için ara.</t>
  </si>
  <si>
    <t>Abdulkadir Bey ile görüşüldü, çok beğendi mutlaka iş çıkacaktır.</t>
  </si>
  <si>
    <t xml:space="preserve">04.02.2016 </t>
  </si>
  <si>
    <t>İyi bir adamdı ilgilendi baya ama İzmir İstanbul gibi değil bu fiyatlara satma şansımız yok dedi, iş çıkarınca arayacak 1000 Dolar uygun olur bize ama adamlardan koparabildiğim miktara göre yükselir falan dedi, işleri İstanbul'a nazaran yarı fiyata yapıyorlarmış ve fazla iş de yokmuş.</t>
  </si>
  <si>
    <t xml:space="preserve"> Melih Bey ile görüşülmesi lazım. Telefon açıldı ama ulaşılamadı bir türlü. Bir kadınla görüşüldü ona da ürün anlatılamadı mail atın dedi, mail atıldı. Tekrar aranması lazım. Melih Bey'le görüşüldü, şu anda öyle bir talepte bulunan firma olmamış, videoları izlemiş beğenmişler, talep olunca arayacaklarını söyledi.</t>
  </si>
  <si>
    <t>Ürünle ilgilendiler, tanıtım yapıldı beğendiler, iş çıkabilir.</t>
  </si>
  <si>
    <t>Gürkan Bey ile görüşüldü, ürünü fazlasıyla beğendi, şu an iş yok ama bilgilerinizi kaydediyorum ilk işte mutlaka arayacağını söyledi. Prototip önermek için ara.</t>
  </si>
  <si>
    <t xml:space="preserve"> Ömer Faruk Bey ile görüşüldü, sistemi çok beğendi, mutlaka arayacaktır ancak indirim isteyecektir. İş çıkar. Prototip önermek için ara.</t>
  </si>
  <si>
    <t xml:space="preserve"> Ahmet Bey ile görüşüldü, ilgilendiler, kullanabilirler, baskı yapmak lazım adamın pek anladığını zannetmiyorum ama iş çıkacaktır. 80'li kartlar kullanmışlar ancak uzun zamandır böyle proje yapmamışlar. Prototip için ara</t>
  </si>
  <si>
    <t xml:space="preserve"> Görüşmek istememişler, mail atın kullanacak olursak iletişime geçeceğiz dediler, mail atıldı.</t>
  </si>
  <si>
    <t xml:space="preserve"> Maket otomasyon istekleri olduğunu söylediler, mail atıldı 10 Şubattan sonra görmek istediler. Görüşüldü, beğenmişler, ara sıra ihtiyaç oluyormuş, ihtiyaç olduğunda arayacaklar.</t>
  </si>
  <si>
    <t>Merve Hanım'la görüşüldü, daha önce böyle daire otomasyonu yapmamışlar firmaların maliyet artışını istemediğinden dolayı ancak talep olursa iş çıkacaktır, ilgilendiler ürünle.</t>
  </si>
  <si>
    <t xml:space="preserve"> Kendi ürünlerini kullanıyorlarmış ancak fazla anlatamasamda telefonda, ilgilendiler sayılabilir. Gürol Bey'e tanıtıma gitmek gerekir, iş çıkabilir. Arandı, mail'e henüz bakamamışlar, bakınca geri dönüş yapabilir, ziyarete çağırabilir. İstanbul'daki firma da Gürol Bey'in yorumundan sonra alabileceğini söyledi.</t>
  </si>
  <si>
    <t>Telefonla görüşüldü müsait değildi, mail atıldı, tekrar aranacak. Bu tür işler gelmemiş ama ilgimize çok teşekkür etti bundan sonra böyle işlerle de ilgilineceğini, iş alırsa mutlaka arayacağını söyledi.</t>
  </si>
  <si>
    <t xml:space="preserve">08.02.2016  </t>
  </si>
  <si>
    <t>Telefonda anlatıldı ve mail atıldı, iş çıkarsa çalışmayı çok isteriz dediler.</t>
  </si>
  <si>
    <t xml:space="preserve"> Mehmet Bey ile görüşüldü, beğendiler, daha sonra fiyatlandırma üzerine bilgi gönderilecektir.</t>
  </si>
  <si>
    <t xml:space="preserve"> Sahibi Mehmet Akif Ersoy ile görüşüldü. Ankara'dan Eray Reklam ile çalışıyorlarmış, hiç yapmamışlar ama takip ediyorlarmış, gayet ilgilendi, iş çıkacaktır. Telefonda bilgi verilmedi, mail ile bilgiler yollandı, aranması lazım sonra. Prototip için ara.</t>
  </si>
  <si>
    <t xml:space="preserve"> Mutlu Bey ile görüşüldü, çok hoşuna gitti sistem ve kolaylıklar. Ellerinde baya işler varmış, bir tanesinde kullanarak denemek isteriz dedi, diğer ekip arkadaşları ile görüşecek onların da fikrini alacak. Prototip için ara.</t>
  </si>
  <si>
    <t xml:space="preserve"> Kemal Bey ile görüşüldü, yeni kurulmuş bir firma, konu ile ilgili fazla bilgileri yok ama iş çıkabilir, gelişmeye açıklar</t>
  </si>
  <si>
    <t>Hakan Bey ile görüşüldü, yapmak istiyorlarmış ama maliyetler nedeniyle yapamıyorlarmış. Toplantıda olduğu için görüşemedik, mail atıldı, tekrar aranacak.</t>
  </si>
  <si>
    <t>Bir elektronikçimiz var zaten onunla çalışıyoruz dedi, müsait değildi ondan ürün anlatılamadı, mail atıldı, tekrar aramak lazım.</t>
  </si>
  <si>
    <t xml:space="preserve"> Ankara ofislerini kapatmışlar, baya ilgilendi buradan kesin iş çıkacaktır, şu an yeni bir proje bitirmiş 400 dairelik, kabloları çekmiş ve bırakmış, onun montajını da ankarada yaptıracakmış belki eski tip kartlarımız ile yapabiliriz ankaraya geldiğinde arayacak, yaklaşık 20-25 gün içerisinde gelecekmiş. Prototip ve ellerindeki iş için ara.</t>
  </si>
  <si>
    <t>Hat bağlanmadı bir türlü, sadece tanıtım maili atıldı. Tekrar aranmalı</t>
  </si>
  <si>
    <t>Telefon açıldı, pek müsait değildi telefonda anlatılamadı ancak Burak Bey'e mail atıldı, inceleyecektir.</t>
  </si>
  <si>
    <t>Sahibi Mahmut Bey ile görüşüldü ama pek anlamadı olayları, mail atıldı tekrar aranması lazım.</t>
  </si>
  <si>
    <t>Burak Bey ile görüşüldü, zaten böyle bir firma arıyorlarmış, mail atıldı mutlaka iş çıkacaktır. Bundan öncekileri Arduino ile falan yapmışlar ama böyle bir ürün arayışı içindelermiş. Prototip için ara.</t>
  </si>
  <si>
    <t>Mustafa Bey ile görüşüldü, fiyatlar biraz pahalı bulundu ama iş çıkabilir.</t>
  </si>
  <si>
    <t xml:space="preserve"> Metin Bey ile görüşüldü, fazla renk vermedi ama ilgilendi, tekrar tekrar aramak gerekiyor, iş çıkacaktır.</t>
  </si>
  <si>
    <t>Telefon açıldı, adam yoldaymış pek birşeyden bahsedilemedi mail atıldı tekrar aramak gerekir.</t>
  </si>
  <si>
    <t>03.03.2016</t>
  </si>
  <si>
    <t>Ziyarete gidildi, adamlar çok garip ama fazlasıyla iyiler. 1x1.5mm LED istediler, ayrıca kendi yazılımlarını geliştirip bu işte tek el olmak da istediklerini söylediler. RGB işine pek sıcak bakmıyorlar çünkü soytarıya çeviriyor maketleri diye düşünüyorlar ama talep olduğunda da yapıyorlarmış.</t>
  </si>
  <si>
    <t>21.03.2016</t>
  </si>
  <si>
    <t>Muhammed Bey internetten bulmuş bizi, 190 daire için 2.000$ teklif verildi. Projeleri biraz garipmiş, 3 ayrı maket olacakmış, eğer ki bunları birleştirmezlerse 3 ayrı kart için adet fiyatı 1.750$ dendi</t>
  </si>
  <si>
    <t>Büyük bir firma</t>
  </si>
  <si>
    <t>03.05.2016</t>
  </si>
  <si>
    <t>Tugay'I aramışlar teklif istiyorlar</t>
  </si>
  <si>
    <t>İlgilenmiyorlar</t>
  </si>
  <si>
    <t xml:space="preserve">09.02.2016 </t>
  </si>
  <si>
    <t>Metin Bey ile görüşüldü. Maket otomasyon kullanmamışlar. Bilgilendirma maili atıldı. Otomasyon işleri olursa ilgileneceklerini söylediler. Prototip için arayabilirsin.</t>
  </si>
  <si>
    <t xml:space="preserve"> Firma Sahibi Cihan bey ile görüşüldü ilgilenmediğini söyledi. </t>
  </si>
  <si>
    <t>Görüşmeye gelmeyin sadece mail atın dediler.</t>
  </si>
  <si>
    <t>Erkan Yılmaz ile görüşüldü. Bir projem olduğu zaman zaten sizden alacağım dedi.</t>
  </si>
  <si>
    <t xml:space="preserve"> Tekrar aramaya gerek yok.</t>
  </si>
  <si>
    <t xml:space="preserve"> Şuanda başka işler yapıyorlarmış. Belki Ağustosta yeniden maket işi döneceklermiş.</t>
  </si>
  <si>
    <t xml:space="preserve"> İzmir de bir projeleri varmış. Azu Mimarlıkla aynı proje . Daha önce otomasyon yapmamış adam biraz yaşlı ve elektrikle ilgili bir çalışanı da yok galiba. Renk olarak günışığı kullanmak istiyor. Fiyat konuşulmadı. Daire animasyonu yapabilir misiniz dedi daireleri dolaşmak. </t>
  </si>
  <si>
    <t xml:space="preserve"> Sahibi Mahmet Şener ve Atölye Şefi Arif Bey ile görüşüldü, kendi yerlerinde sistem maket üzerinden anlatıldı. Sahibi yaşlı ama ötekiler sıcak baktılar. Ankarada KUZU ile çalışmışlar ama otomasyonunda çok problem yaşamışlar. O yüzden teknik hizmet almak istiyorlar. Özellikle günışığı ve beyaz renk kullanacaklar. Maketin gerçekdışı olmasından hoşlanmıyorlar, hareketli makete sıcak bakmıyorlar. Animasyon vs kullanmak istemeyecekler. Fiyat duyarlılıkları pek yok, sonucun iyi olmasını önemsiyorlar.</t>
  </si>
  <si>
    <t>15.12.2015</t>
  </si>
  <si>
    <t xml:space="preserve"> İlk etapta 2-3 gün içinde haber verecek 500 LED'li bir proje için alacak. İlk örneği 1500$'dan vereceğiz. Daha sonra 10 adet alım yapacak. Hızlı isyiyor. 2-3 hafta içinde bitmiş olmalı. O yüzden LED lazım.</t>
  </si>
  <si>
    <t>21.12.2015</t>
  </si>
  <si>
    <t xml:space="preserve"> Telefonla görüşüldü. LED Fiyatı 1.5 TL'ye düşürüldü. Bu tarihten daha sonra satış yapıldı.</t>
  </si>
  <si>
    <t xml:space="preserve"> 13.05.2016</t>
  </si>
  <si>
    <t xml:space="preserve">Satış Yapılmıştı önceden. Yeni proje ve günışığı göstermek için  ziyarete gidildi. Maket üzerinden yeni sistem gösterildi. Atölyedekiler sistem kullanımı ve excel ile ilgili bilgilendirildi. Yeni sistemi daha çok beğendiler. Sisteme eklenti istekleri olabilir. led fiyat; RGBW 0.70, RGB 0.50. </t>
  </si>
  <si>
    <t>14.03.2016</t>
  </si>
  <si>
    <t xml:space="preserve"> Özgür bey ile görüşüldü, 500 dairelik otomasyonu yeni kaçırmışız, 8500 TL + KDV ödemişler, darlasak iş bizdeydi, toplam 2 kişi 15 gün harcamışlar. Mail atıldı, mail'e güzel bir cevap vermişler konuyla ilgilendiler</t>
  </si>
  <si>
    <t>05.04.2016</t>
  </si>
  <si>
    <t xml:space="preserve"> 500 daire için teklif gönderildi</t>
  </si>
  <si>
    <t>09.05.2016</t>
  </si>
  <si>
    <t xml:space="preserve"> 120 villa projeleri için teklif gönderildi</t>
  </si>
  <si>
    <t xml:space="preserve"> Yüzyüze görüşüldü. Maket üzerinden sistem anlatıldı. 120 villa için anlaştığından vazgeçip bizimkini istedi. Led+WebApp 4.100 USD fatura kesildi. Daha sonra telefonda vazgeçtiğini söyledi.  </t>
  </si>
  <si>
    <t>23.02.2016</t>
  </si>
  <si>
    <t>1x1.5mm LED için arandı, birşey bulamadık ama çalışıyoruz deyip adamların takdirini aldık. Bu köprü işini almış gibiler 3 ay zamanları varmış yani 2 ay sonra maketi bitirmeleri lazım. Maket sürecinde bizi arayıp ortaklaşa sistem geliştirtmek isteyebilirler, irtibatta olmak lazım</t>
  </si>
  <si>
    <t>21 03 2016</t>
  </si>
  <si>
    <t xml:space="preserve"> AVM projeleri için teklif istediler, teklif gönderildi, dropbox'ta var.</t>
  </si>
  <si>
    <t>09.03.2016</t>
  </si>
  <si>
    <t xml:space="preserve"> Osman ile görüşüldü, teklif vermişler haber bekliyorlar, böyle büyük işlerde kesinlikle sizinle çalışacağız dediler, patyo makete de bizi Osman önermiş. Gün ışığı LED'lerden bahsedildi, iş oldumu mutlaka arayacağız dediler, kart fiyatında sıkıntı yok ama LED fiyatlarını biraz daha indirebilirsek iş alma konusunda daha çok kolaylık yaşarız dediler.</t>
  </si>
  <si>
    <t>Henüz YDA belli değilmiş, bugün (22.02.2016) toplantı varmış, işi alırlarsa zaten bile geleceklermiş ya da başka otomasyon işi aldıklarında da direkt arayacaklarmış.(09.03.2016) Gün ışığı LED'lerden bahsedildi.</t>
  </si>
  <si>
    <t>30.03.2016</t>
  </si>
  <si>
    <t xml:space="preserve"> Telefonda görüşüldü, teklif verdiği yerler olmuş ama geri dönüşler daha gelmemiş, iş geldiği gibi sizi arayacağım aklımdasınız zaten diyor</t>
  </si>
  <si>
    <t>01.04.2016</t>
  </si>
  <si>
    <t xml:space="preserve"> Hüseyin Bey aradı, elinizde mevcut LED varsa bir tane ufak bir tane de orta çaplı projeye teklif vereceğim dedi. LED fiyatları adede ve elimizde olmasına bağlı 0.5-0.7 arası değişiyor dedim</t>
  </si>
  <si>
    <t>Adamlar düşük fiyatlara aldıkları ve genelde projelerinde yukarıdan aydınlatma yaptıkları için soru işaretleri vardı, gönderdiğimiz fiyatlar biraz pahalı gelmiş.1600 + 0.5*2000 ya da 0.6*1000 Dolar teklif verildi 1000 daire için.</t>
  </si>
  <si>
    <t xml:space="preserve"> Görüşmeye gidildi, teki çok beğemdi diğer adam biraz gıcıklık yaptı ama deneyeceklerini söylediler, 300 daireli maket için kullanacaklar sonra 1 işleri daha varmış. 300 dairelik için 300 LED + kart + wifi için 2000$ teklif verildi.</t>
  </si>
  <si>
    <t xml:space="preserve">30.03.2016 </t>
  </si>
  <si>
    <t>Haydar Bey ile telefonda görüşüldü, projeyi yoğunluktan dolayı henüz incelememişler, yeni LED'lerimiz hakkında bilgi verildi haber bekleniyor</t>
  </si>
  <si>
    <t xml:space="preserve"> Görüşmeye gidildi. Yoklardı atölyede olan iki kişiye anlatıldı. Video çektiler, daha sonra tekrar mail atıldı broşür de gönderildi.</t>
  </si>
  <si>
    <t>08.12.2015</t>
  </si>
  <si>
    <t>2500-3000 Dolar dendi. çok ucuz olduğunu söylediler:) her makette kullanırım ben dedi</t>
  </si>
  <si>
    <t>16.12.2016</t>
  </si>
  <si>
    <t xml:space="preserve"> Ziyaret edildi. 1 tane aralık sonunda alacak. Kendisi deneme yapacak. 2000 Dolardan alacak ama 10'lu alımda totalde 500 dolar indirim yapılacak. 21.12.2015'te tekrar telefonda konuşuldu maddi durumdan dolayı ancak ay sonu haber verebilecek</t>
  </si>
  <si>
    <t>07.01.2016</t>
  </si>
  <si>
    <t xml:space="preserve"> 1800 daireli bir projeyi almak üzereymiş haber verecek. Toplam 5000 civarı LED kullanılacak. Tahminen 60 LED/m isteyecek  75 günlük proje süresi olacak</t>
  </si>
  <si>
    <t>Adam telefonu çalışanına açtırdı, görüşmüşler şu an ellerinde iş yokmuş ama olunca arayacaklarını söylediler, pek güven vermedi başından atar gibi konuştu, yeni videolar geldikçe mail ile bilgilendirmek gerekiyor</t>
  </si>
  <si>
    <t xml:space="preserve">Selvi Maket </t>
  </si>
  <si>
    <t>25.05.2016</t>
  </si>
  <si>
    <t>Kiosklu proje için teklif gönderildi.</t>
  </si>
  <si>
    <t>Sistemi bilmedikleri için soru işaretleri varmış, ekip arkadaşlarından bazıları tamam demiş bazıları anlamamış falan videolar güncellenince tekrar aramak lazım</t>
  </si>
  <si>
    <t xml:space="preserve">Atölye 78 </t>
  </si>
  <si>
    <t>Telefonla görüşüldü, yoğunluktan dolayı zaman ayıramadılar, haftaya ankaraya gelecekmiş ve mutlaka ziyaret edecekmiş.</t>
  </si>
  <si>
    <t xml:space="preserve"> Görüşüldü, maketi hala bitirememişler ondan gelememiş ankaraya, gelinve mutlaka uğrayacak.Görüşmeye gitmek gerekiyor, sunum yapmamızı istediler, sunum yaparsak en azından bir prototip anlaşma sağlanır.</t>
  </si>
  <si>
    <t>04.03.2016</t>
  </si>
  <si>
    <t xml:space="preserve"> Görüşmeye gidildi, sokak aydınlatma, araba aydınlatma gibi isteklerini söylediler, fiyatları az daireli projeler için revize etmemizi istediler, görüşme detaylar dropbox'ta Patyo Maket work dosyasının içerisinde</t>
  </si>
  <si>
    <t>100 LED kart satışı ve kurulum sözleşmesi imzalandı. Toplam ücret 1300$ + KDV</t>
  </si>
  <si>
    <t>E-posta</t>
  </si>
  <si>
    <t>Şehir</t>
  </si>
  <si>
    <t>Keresteciler Sitesi Kiraz Sokak
Sev Han No:4/3 Merter
 PK: 34173
 İSTANBUL</t>
  </si>
  <si>
    <t>http://www.maketsehir.com.tr/</t>
  </si>
  <si>
    <t>0212 637 52 25 - 0532 200 01 65</t>
  </si>
  <si>
    <t>maketsehir@maketsehir.com.tr</t>
  </si>
  <si>
    <t xml:space="preserve">İstanbul </t>
  </si>
  <si>
    <t>http://sihirlimaket.com/</t>
  </si>
  <si>
    <t>0532 668 50 50</t>
  </si>
  <si>
    <t>info@sihirlimaket.com - tekno34@windowslive.com</t>
  </si>
  <si>
    <t>Seyran Mahallesi 25. Ek Sanayi Sokak No:29 Akşehir / Konya</t>
  </si>
  <si>
    <t>http://www.onurmaket.com/ana-sayfa</t>
  </si>
  <si>
    <t>0332 813 87 85- 0542 504 47 06</t>
  </si>
  <si>
    <t>bilgi@onurmaket.com - ramazan@onur-grup.com</t>
  </si>
  <si>
    <t>Konya</t>
  </si>
  <si>
    <t>Makethane</t>
  </si>
  <si>
    <t xml:space="preserve"> Hasanpaşa, Hamiyet sk. No:20/B
 Kadıköy - İSTANBUL</t>
  </si>
  <si>
    <t>http://makethane.marimeks.com.tr/</t>
  </si>
  <si>
    <t>0216 327 41 80</t>
  </si>
  <si>
    <t>makethane@marimeks.com.tr</t>
  </si>
  <si>
    <t>Modelart</t>
  </si>
  <si>
    <t>Uzunçayır Cad. Kadıköy iş Mrk. A2 blok No:4 Hasanpaşa / Kadıköy</t>
  </si>
  <si>
    <t>http://www.modelart.com.tr/</t>
  </si>
  <si>
    <t>0216 428 90 80-0532 355 91 72-0539 272 63 92-0536 768 86 40</t>
  </si>
  <si>
    <t xml:space="preserve">modelart@modelart.com.tr emirhan@modelart.com.tr </t>
  </si>
  <si>
    <t>Fi maket</t>
  </si>
  <si>
    <t>Halil Rıfat Paşa Mah. Perpa Ticaret Merkezi B Blok kat:11 No: 1989 Şişli/İstanbul</t>
  </si>
  <si>
    <t>http://fimaket.com/</t>
  </si>
  <si>
    <t>0530 384 76 53-0462 325 00 11</t>
  </si>
  <si>
    <t>info@fimaket.com</t>
  </si>
  <si>
    <t>İstanbul &amp; Trabzon</t>
  </si>
  <si>
    <t>Maketronik</t>
  </si>
  <si>
    <t xml:space="preserve">Abdurrahman Gazi Mahallesi, 
 Petrol Yolu Caddesi No:143
Sultanbeyli </t>
  </si>
  <si>
    <t>http://www.maketronik.com/</t>
  </si>
  <si>
    <t>0216 498 83 03 -0532 062 14 53</t>
  </si>
  <si>
    <r>
      <t>info@maketronik.com</t>
    </r>
    <r>
      <rPr>
        <sz val="11"/>
        <color rgb="FF0070C0"/>
        <rFont val="Calibri"/>
        <family val="2"/>
        <scheme val="minor"/>
      </rPr>
      <t xml:space="preserve"> maketronik@gmail.com</t>
    </r>
  </si>
  <si>
    <t>Adalet Mah. 1593/1 Sokak                                         Bayraklı - İZMİR</t>
  </si>
  <si>
    <t>http://www.mimarmaket.com/</t>
  </si>
  <si>
    <t>0232 461 49 97</t>
  </si>
  <si>
    <t>info@maketizmir.com maket35@gmail.com</t>
  </si>
  <si>
    <t>İzmir</t>
  </si>
  <si>
    <t xml:space="preserve"> Doğukent Mah. Fevziçakmak Bulvarı No: 11 Şanlıurfa</t>
  </si>
  <si>
    <t>http://www.urfamaket.com/</t>
  </si>
  <si>
    <t>0506 886 22 23</t>
  </si>
  <si>
    <t>aybartasarim@gmail.com</t>
  </si>
  <si>
    <t>Şanlıurfa</t>
  </si>
  <si>
    <t>Hasanpaşa Mh. Nazif Bey Sk.
 Rüştü Bey Apt. 57/1A
Kadıköy / İSTANBUL</t>
  </si>
  <si>
    <t>http://www.mimarimaket.com/</t>
  </si>
  <si>
    <t>0216 449 32 62</t>
  </si>
  <si>
    <t>info@kentmaket.com</t>
  </si>
  <si>
    <t>Akdeniz Caddesi Yasemin Sokak No 21 Atakent Ümraniye İstanbul</t>
  </si>
  <si>
    <t>http://www.pozitifmaket.com/</t>
  </si>
  <si>
    <t>0216 634 76 10 -0505 631 29 73</t>
  </si>
  <si>
    <t>merhaba@pozitifgrup.net</t>
  </si>
  <si>
    <t xml:space="preserve">Dikkaldırım Mh.Hasat Sk.No:7 
 Osmangazi / Bursa </t>
  </si>
  <si>
    <t>http://vektormaket.net/</t>
  </si>
  <si>
    <t>0549 860 55 24</t>
  </si>
  <si>
    <t>info@vektormaket.net </t>
  </si>
  <si>
    <t>Bursa</t>
  </si>
  <si>
    <t>Güneştepe Mah. Yeşiltepe Cad.                  Kuyulu Sok. No: 18                         Güngören/İSTANBUL</t>
  </si>
  <si>
    <t>http://www.deltamaket.com/</t>
  </si>
  <si>
    <t>0538 989 40 28</t>
  </si>
  <si>
    <t>deltamaket@gmail.com</t>
  </si>
  <si>
    <t>Birlik Mahallesi 481. Sokak 16 / A Çankaya /ANKARA</t>
  </si>
  <si>
    <t>http://www.artemaket.com/</t>
  </si>
  <si>
    <t>0312 495 88 18 -0535 628 17 91</t>
  </si>
  <si>
    <r>
      <t xml:space="preserve">arte@artemaket.com </t>
    </r>
    <r>
      <rPr>
        <sz val="11"/>
        <color rgb="FF0070C0"/>
        <rFont val="Calibri"/>
        <family val="2"/>
        <scheme val="minor"/>
      </rPr>
      <t xml:space="preserve">artemaket@gmail.com </t>
    </r>
  </si>
  <si>
    <t>Ankara</t>
  </si>
  <si>
    <t>http://www.megaronmaket.com/</t>
  </si>
  <si>
    <t>0312 447 60 62 -0507 960 93 93 - 0553 452 84 86</t>
  </si>
  <si>
    <t>info@megaronmaket.com</t>
  </si>
  <si>
    <t>http://www.bilkamaket.com/</t>
  </si>
  <si>
    <t>0532 698 0530</t>
  </si>
  <si>
    <r>
      <t xml:space="preserve">info@bilkamaket.com  </t>
    </r>
    <r>
      <rPr>
        <sz val="11"/>
        <color rgb="FF0070C0"/>
        <rFont val="Calibri"/>
        <family val="2"/>
        <scheme val="minor"/>
      </rPr>
      <t>bilkamaket@gmail.com</t>
    </r>
  </si>
  <si>
    <t>Gaziantep</t>
  </si>
  <si>
    <t>Maket İzmir</t>
  </si>
  <si>
    <t>Adalet, 1586/3. Sk., 35530 Bayraklı/İzmir, Türkiye</t>
  </si>
  <si>
    <t>http://www.maketizmir.com/</t>
  </si>
  <si>
    <t>0232 461 49 94 - 0232 461 49 97</t>
  </si>
  <si>
    <t>info@maketizmir.com</t>
  </si>
  <si>
    <t>Mimari Maket İzmir</t>
  </si>
  <si>
    <t>http://www.mimarimaketizmir.com/</t>
  </si>
  <si>
    <t>0532 391 86 13 - 0232 254 53 46</t>
  </si>
  <si>
    <t>info@mimarimaketizmir.com</t>
  </si>
  <si>
    <t>Same Maket</t>
  </si>
  <si>
    <t xml:space="preserve">Kasımpaşa Mh. Bektaşlar Sk. No:18/A-B Bozüyük, BİLECİK
</t>
  </si>
  <si>
    <t>http://www.samemaket.com/</t>
  </si>
  <si>
    <t>0 228 314 03 15 - 0506 512 51 11 -0545 314 13 15</t>
  </si>
  <si>
    <t>info@samemaket.com samemaket@gmail.com</t>
  </si>
  <si>
    <t>Bilecik</t>
  </si>
  <si>
    <t xml:space="preserve"> Selami Ali Mah. Sözebesi Sok.
              Akgün Apt. No:7 Dükkan 4              Üsküdar/İstanbul</t>
  </si>
  <si>
    <t>http://www.selvimaket.com/</t>
  </si>
  <si>
    <t>0216 343 87 29 - 0542 323 07 57</t>
  </si>
  <si>
    <t>kurultayselvi@selvimaket.com</t>
  </si>
  <si>
    <t>5746/1 Sokak No: 2 MTK Sitesi, Çamdibi, Bornova - İzmir</t>
  </si>
  <si>
    <t>http://www.manhattanmimarimaket.com/</t>
  </si>
  <si>
    <t>0 232 472 29 82 - 0541 276 82 08</t>
  </si>
  <si>
    <t>info@manhattanmimarimaket.com</t>
  </si>
  <si>
    <t>3D Maketçi</t>
  </si>
  <si>
    <t>Esensehir mahallesi Natoyolu caddesi İlkyaz sk. Umraniye</t>
  </si>
  <si>
    <t>http://www.3dmaketci.com/</t>
  </si>
  <si>
    <t>0224 361 62 60 - 0532 560 49 43</t>
  </si>
  <si>
    <t>3dmaketci@gmail.com</t>
  </si>
  <si>
    <t>İstanbul &amp; Bursa</t>
  </si>
  <si>
    <t>Mehmet Akif Mahallesi, Gül Caddesi, No:79 Sultanbeyli/İstanbul, Türkiye</t>
  </si>
  <si>
    <t>http://minamaket.com/</t>
  </si>
  <si>
    <t>0216 496 42 23 - 0506 814 24 98- 0533 272 55 49</t>
  </si>
  <si>
    <t>maketmina@gmail.com info@minamaket.com</t>
  </si>
  <si>
    <t>Model Maket Atölyesi</t>
  </si>
  <si>
    <t>Cevizlidere mah. Ceyhun Atuf Kansu Cad. 187/A Balgat / Çankaya</t>
  </si>
  <si>
    <t>http://www.modelmaketatolyesi.com/</t>
  </si>
  <si>
    <t>0312 468 98 43</t>
  </si>
  <si>
    <t>modelmaket1@gmail.com info@modelmaketatolyesi.com</t>
  </si>
  <si>
    <t>Maketsan</t>
  </si>
  <si>
    <t>Alemdağ Caddesi 796/2 
Y.Dudullu - Ümraniye - İstanbul</t>
  </si>
  <si>
    <t>http://www.maketsan.com.tr/</t>
  </si>
  <si>
    <t>0216 420 56 10 -0216 420 56 11</t>
  </si>
  <si>
    <t>info@maketsan.com.tr</t>
  </si>
  <si>
    <t>Promak Tasarım</t>
  </si>
  <si>
    <t>İstiklal Mahallesi Kavaklıdere Caddesi No:61/A  ÜMRANİYE / İSTANBUL</t>
  </si>
  <si>
    <t>http://www.promaktasarim.com.tr/</t>
  </si>
  <si>
    <t>0216 461 21 85 - 0533 738 71 01</t>
  </si>
  <si>
    <t>promaktasarim@gmail.com </t>
  </si>
  <si>
    <t>Çengelköy Mahallesi. Bekardere Caddesi.16/A ÜSKÜDAR/ İSTANBUL</t>
  </si>
  <si>
    <t>http://www.cinarmaket.com/</t>
  </si>
  <si>
    <t>0216 321 75 73 -0530 233 85 48 </t>
  </si>
  <si>
    <t>cinarmaket@gmail.com info@cinarmaket.com </t>
  </si>
  <si>
    <t>http://www.avcidijital.com/</t>
  </si>
  <si>
    <t>0312 468 78 14 - 0544 666 66 62</t>
  </si>
  <si>
    <t>murat@avcidijital.com</t>
  </si>
  <si>
    <t>Şemsettin Günaltay Caddesi 278/1 G.O.Paşa/Kırkkonaklar - Çankaya / Ankara</t>
  </si>
  <si>
    <t>http://www.mavimaket.com/anasayfa-page-62</t>
  </si>
  <si>
    <t>0312 496 23 22 0546 475 63 64</t>
  </si>
  <si>
    <t>mavimaket@gmail.com info@mavimaket.com</t>
  </si>
  <si>
    <t>Serçeönü Mah. Ahmet Paşa Cad. İkizler İş Merkezi ABlok Kat : 4 No : 401 Kocasinan KAYSERİ</t>
  </si>
  <si>
    <t>http://www.linamaket.com/</t>
  </si>
  <si>
    <t>0352 222 11 73 0532 675 97 51</t>
  </si>
  <si>
    <t>linatasarim@gmail.com</t>
  </si>
  <si>
    <t>Kayseri</t>
  </si>
  <si>
    <t>Atölye K</t>
  </si>
  <si>
    <t>http://www.atolyek.com/</t>
  </si>
  <si>
    <t>0216 472 85 40</t>
  </si>
  <si>
    <t>info@atolyek.com</t>
  </si>
  <si>
    <t>Gürol Mimarlık</t>
  </si>
  <si>
    <t>0312 467 30 20</t>
  </si>
  <si>
    <t>gurolmim@yahoo.com</t>
  </si>
  <si>
    <t>http://www.atolye86.com/</t>
  </si>
  <si>
    <t>0242 312 70 27 0532 747 29 49</t>
  </si>
  <si>
    <t>info@atolye86.com atolye86@hotmail.com</t>
  </si>
  <si>
    <t>Antalya</t>
  </si>
  <si>
    <t>Hasanpaşa Mah. Ahmet Rasim Sok. No: 16 Kadıköy / İSTANBUL</t>
  </si>
  <si>
    <t>http://www.arcmaketevi.com/</t>
  </si>
  <si>
    <t>0216 418 00 19 0532 406 37 86</t>
  </si>
  <si>
    <t>info@arcmaketevi.com arcmaketevi@gmail.com</t>
  </si>
  <si>
    <t>http://www.3dmedya.net/</t>
  </si>
  <si>
    <t>0462 323 10 56 0532 456 96 01</t>
  </si>
  <si>
    <t>info@3dmedya.net</t>
  </si>
  <si>
    <t>Trabzon</t>
  </si>
  <si>
    <t>Toros Mah. 78041 Sk. Veysel Sun Apt. Zemİn Kat
Çukurova/ADANA</t>
  </si>
  <si>
    <t>http://sanatmaket.com/</t>
  </si>
  <si>
    <t>0322 999 49 31 0535 812 01 25</t>
  </si>
  <si>
    <t>mehmettokgoz@hotmail.com tokgoz@sanatmaket.com muhammet@sanatmaket.com info@sanatmaket.com</t>
  </si>
  <si>
    <t>Adana</t>
  </si>
  <si>
    <t xml:space="preserve">Adres : Reşat Bey Mah.Adalet Cad. 
Milliler Apt. Zemin Kat No:17/C 
 Seyhan/ADANA 
</t>
  </si>
  <si>
    <t>http://www.makermaketci.com/</t>
  </si>
  <si>
    <t>0539 846 55 65 0542 525 73 11 0322 457 96 27</t>
  </si>
  <si>
    <t>mehmetakifersoy1953@mynet.com makermaketci@gmail.com</t>
  </si>
  <si>
    <t>Antre Maket</t>
  </si>
  <si>
    <t>https://tr-tr.facebook.com/Antre-maket-mimarl%C4%B1k-m%C3%BChendislik-215386465322784/</t>
  </si>
  <si>
    <t>0532 491 76 76</t>
  </si>
  <si>
    <t>ankotr@gmail.com</t>
  </si>
  <si>
    <t>ULUTEK Teknoloji Geliştirme Bölgesi
 Uludağ Üniversitesi, Görükle Kampüsü D.407 
Nilüfer/BURSA</t>
  </si>
  <si>
    <t>http://www.objemaket.com/</t>
  </si>
  <si>
    <t>0224 251 62 53 0532 325 67 45 0543 677 07 50</t>
  </si>
  <si>
    <t>info@objemaket.com objemaket@gmail.com</t>
  </si>
  <si>
    <t>Çekirge Caddesi, No:71 Osmangazi / BURSA</t>
  </si>
  <si>
    <t>http://www.begenilirgrup.com/</t>
  </si>
  <si>
    <t>0224 234 99 99</t>
  </si>
  <si>
    <t>info@begenilirgrup.com</t>
  </si>
  <si>
    <t>Karaman Mahallesi Kültür Caddesi No: 24/A Nilüfer - BURSA</t>
  </si>
  <si>
    <t>http://www.atolye250.com/</t>
  </si>
  <si>
    <t>0224 441 28 78</t>
  </si>
  <si>
    <t>info@atolye250.com</t>
  </si>
  <si>
    <t>Kennedy Cad. 81/3 KÜÇÜKESAT - ANKARA</t>
  </si>
  <si>
    <t>http://atolye96.com/</t>
  </si>
  <si>
    <t>0312 447 36 98</t>
  </si>
  <si>
    <t>info@atolye96.com</t>
  </si>
  <si>
    <t xml:space="preserve"> Bağdat Cad. Şale Sok. No : 23 - A 
 Küçükyalı / İSTANBUL  </t>
  </si>
  <si>
    <t>http://www.atolye78.com/</t>
  </si>
  <si>
    <t>0216 602 20 00 0532 277 74 64 0216 366 82 88 0312 441 20 50 0312 438 38 63</t>
  </si>
  <si>
    <t>info@atolye78.com madanlarmaket@gmail.com</t>
  </si>
  <si>
    <t>İstanbul  &amp; Ankara</t>
  </si>
  <si>
    <t>Gazi Mahallesi Battalbey Cd. Platin Evleri Sitesi A Blok No: 6
 Şehitkamil / GAZİANTEP</t>
  </si>
  <si>
    <t>http://www.promayapi.com.tr/</t>
  </si>
  <si>
    <t>0342 339 39 66</t>
  </si>
  <si>
    <t>info@promayapi.com.tr</t>
  </si>
  <si>
    <t>Pancarlı mahallesi Bahriye Üçok Bulvarı Karan apartmanı altı No:10/A Şehitkamil Gaziantep</t>
  </si>
  <si>
    <t>http://www.mimarbey.com/</t>
  </si>
  <si>
    <t>0342 335 36 66</t>
  </si>
  <si>
    <t>burak@mimarbey.com</t>
  </si>
  <si>
    <t>Çankaya Mh. 2017. Sk. Ercan Apt. No: 23 Karaköprü, Şanlıurfa</t>
  </si>
  <si>
    <t>http://www.kudat.com.tr/</t>
  </si>
  <si>
    <t>0414 313 01 96</t>
  </si>
  <si>
    <t>kudat@kudat.com.tr mahmutkudat@gmail.com</t>
  </si>
  <si>
    <t>Gültepe Mh. Köşk Cad. No:13/A Melikgazi/Kayseri</t>
  </si>
  <si>
    <t>http://www.atolye360.net/</t>
  </si>
  <si>
    <t>0505 606 92 24</t>
  </si>
  <si>
    <t>burakakoluk@hotmail.com</t>
  </si>
  <si>
    <t>Kat: No:201, Hunat, Postalar Gç. No:2, 38030 Melikgazi/Kayseri</t>
  </si>
  <si>
    <t>http://www.beyazmaket.com/</t>
  </si>
  <si>
    <t>0352 222 02 22 -0352 606 06 46</t>
  </si>
  <si>
    <t>info@beyazmaket.com</t>
  </si>
  <si>
    <t>http://www.anatoliamaket.com/</t>
  </si>
  <si>
    <t>0362 432 28 41</t>
  </si>
  <si>
    <t>anatoliamaket@hotmail.com</t>
  </si>
  <si>
    <t>Samsun</t>
  </si>
  <si>
    <t>http://integralmaket.com/integral-maket-anasayfa.html</t>
  </si>
  <si>
    <t>0546 651 99 12</t>
  </si>
  <si>
    <t>integralmaket@gmail.com</t>
  </si>
  <si>
    <t>0532 436 65 39 0533 727 82 82</t>
  </si>
  <si>
    <t>Form Mimari Maket</t>
  </si>
  <si>
    <t>0530 100 72 93</t>
  </si>
  <si>
    <t>formmimari@gmail.com</t>
  </si>
  <si>
    <t>http://mukarnasmaket.com/index.php?route=common/home</t>
  </si>
  <si>
    <t>0312 447 87 33</t>
  </si>
  <si>
    <t>http://www.azumimarlikmaket.com/</t>
  </si>
  <si>
    <t>0232 344 34 44</t>
  </si>
  <si>
    <t>Maket Evi</t>
  </si>
  <si>
    <t xml:space="preserve">Keresteciler Sitesi Kiraz Sok. Sev Han No:4 Kat:2 Merter/İstanbul </t>
  </si>
  <si>
    <t>http://www.maketevi.com/</t>
  </si>
  <si>
    <t>2012 637 78 63 0533 248 25 67</t>
  </si>
  <si>
    <t>info@maketevi.com</t>
  </si>
  <si>
    <t>B.İhsaniye Mh. Yeşilırmak Sk. Börekçioğlu Sit. 1/C Selçuklu/Konya</t>
  </si>
  <si>
    <t>http://tasarimmaket.com/</t>
  </si>
  <si>
    <t>0332 321 55 38 0532 607 50 82</t>
  </si>
  <si>
    <t>tasarimmaket@hotmail.com</t>
  </si>
  <si>
    <t>http://www.istanbulyapimaket.com/</t>
  </si>
  <si>
    <t>0554 365 72 70</t>
  </si>
  <si>
    <t>istanbulyapimaket@hotmail.com</t>
  </si>
  <si>
    <t>Cumhuriye Mahallesi Soydaşağa Sokak NO:12/A ESKİŞEHİR</t>
  </si>
  <si>
    <t>http://www.arimimarimaket.net/</t>
  </si>
  <si>
    <t>0544 422 88 32</t>
  </si>
  <si>
    <t>arimimarimaket@gmail.com</t>
  </si>
  <si>
    <t>Eskişehir</t>
  </si>
  <si>
    <t xml:space="preserve"> Caferağa Mah. Bahariye Cad. 
İleri Sk. 13 / A-B
 34710 Kadıköy / İstanbul</t>
  </si>
  <si>
    <t>http://www.atolye77.com.tr/</t>
  </si>
  <si>
    <t>0216 337 19 07 0532 451 0470</t>
  </si>
  <si>
    <t>info@atolye77.com.tr atolye77@gmail.com</t>
  </si>
  <si>
    <t>abay kunanbay caddesi  43/2  kavaklıdere ANKARA</t>
  </si>
  <si>
    <t>http://www.cizgimaket.com/</t>
  </si>
  <si>
    <t>0312 447 47 99 0535 963 56 77</t>
  </si>
  <si>
    <t>destek@cizgimaket.com cizgimaket@gmail.com</t>
  </si>
  <si>
    <t>http://www.teknikmaket.com/</t>
  </si>
  <si>
    <t>0216 557 58 68 0542 252 98 85</t>
  </si>
  <si>
    <t>info@teknikmaket.com</t>
  </si>
  <si>
    <t>Rasimpaşa Mah. Duatepe Sok. No:12/A 34716 Kadıköy – İstanbul</t>
  </si>
  <si>
    <t>http://www.kucukatolye.com/</t>
  </si>
  <si>
    <t>0216 550 34 53</t>
  </si>
  <si>
    <t>info@kucukatolye.com kucukatolye@gmail.com</t>
  </si>
  <si>
    <t>Rasim Paşa Mah.Yurttaş Sok.No:19A Kadıköy / İSTANBUL/TÜRKİYE</t>
  </si>
  <si>
    <t>http://www.sistemmaket.com/</t>
  </si>
  <si>
    <t>0216 418 36 74 0532 273 71 07</t>
  </si>
  <si>
    <t>sistem8@gmail.com</t>
  </si>
  <si>
    <t>Ferah Mah. Nihat Sami Banarlı Sok. No:49/B
 Üsküdar / İstanbul</t>
  </si>
  <si>
    <t>http://www.atesmaket.com.tr/</t>
  </si>
  <si>
    <t>0216 557 71 69 0533 571 64 24</t>
  </si>
  <si>
    <t>info@atesmaket.com.tr</t>
  </si>
  <si>
    <t>Dudullu Organize Sanayi Bölgesi 3. Cadde Saraçoğlu İş Merkezi No:5/72 
PK:34774 Esenşehir - Ümraniye / İstanbul /Türkiye</t>
  </si>
  <si>
    <t>http://www.maketgrup.com.tr/</t>
  </si>
  <si>
    <t>0216 540 41 13</t>
  </si>
  <si>
    <t>info@maketgrup.com.tr</t>
  </si>
  <si>
    <t>Büklüm Sok. 119/A Kavaklıdere / Ankara</t>
  </si>
  <si>
    <t>http://www.siluetmaket.com/</t>
  </si>
  <si>
    <t>0312 446 84 06</t>
  </si>
  <si>
    <t>siluetmaket@gmail.com</t>
  </si>
  <si>
    <t>Atatürk Mahallesi Ayazma sokak No:34/C Ümraniye / İSTANBUL</t>
  </si>
  <si>
    <t>http://vizyonmaket.com/</t>
  </si>
  <si>
    <t>0216 344 72 72</t>
  </si>
  <si>
    <t>vizyonmaket@gmail.com</t>
  </si>
  <si>
    <t>0212 210 34 54</t>
  </si>
  <si>
    <t>maketistanbul@gmail.com</t>
  </si>
  <si>
    <t>Abdulkerim Bey</t>
  </si>
  <si>
    <t>Fırat Bey</t>
  </si>
  <si>
    <t>Perspektif Maket</t>
  </si>
  <si>
    <t>0532 583 80 73</t>
  </si>
  <si>
    <t>perspektifmaket@gmail.com</t>
  </si>
  <si>
    <t>Harun Bey</t>
  </si>
  <si>
    <t>Kalyon Model Maket</t>
  </si>
  <si>
    <t>0555 786 44 11 - 0216 314 10 60</t>
  </si>
  <si>
    <t>huseyinkaraguney58@gmail.com</t>
  </si>
  <si>
    <t>Gökhan Bey - Hüseyin bey</t>
  </si>
  <si>
    <t>Cihangir Mahallesi E5 Karayolu üzeri Londra Asfaltı Beyaz Center(Hilton Oteli Yanı) B Blok Magaza No: 11 / 13 Avcılar/İstanbul</t>
  </si>
  <si>
    <t>0 212 777 24 17 -
0 542 521 65 89</t>
  </si>
  <si>
    <t>Onur Çaka</t>
  </si>
  <si>
    <t>www.maketia.com</t>
  </si>
  <si>
    <t>0212 572 84 27 -  
0533 710 80 09</t>
  </si>
  <si>
    <t>www.maketevi.com</t>
  </si>
  <si>
    <t>0212 637 73 83 - 
0533 248 25 67</t>
  </si>
  <si>
    <t>www.marmaramaket.com</t>
  </si>
  <si>
    <t>0216 418 09 00 - 0533 938 05 05</t>
  </si>
  <si>
    <t>marmaramaket@gmail.com</t>
  </si>
  <si>
    <t>Yasin Bey</t>
  </si>
  <si>
    <t>www.maketgrup.com.tr</t>
  </si>
  <si>
    <t>Arif Bey - Eser Bey</t>
  </si>
  <si>
    <t>Kuştepe Yolu  Mesut Cemil Sok No:22
Mecidiyeköy / İSTANBUL</t>
  </si>
  <si>
    <t>www.armimaket.com</t>
  </si>
  <si>
    <t>0212 212 52 62 -63</t>
  </si>
  <si>
    <t>Nuray Şen</t>
  </si>
  <si>
    <t>Er Maket</t>
  </si>
  <si>
    <t>Sanayi Sitesi, 274. Sok. No:17, Fethiye Merkez/Muğla</t>
  </si>
  <si>
    <t>www.ermaket.com</t>
  </si>
  <si>
    <t>0252 611 02 52 - 0532 692 12 08</t>
  </si>
  <si>
    <t>Muğla</t>
  </si>
  <si>
    <t>Ercan bey</t>
  </si>
  <si>
    <t>Fatih Bey- Mehmet Bey</t>
  </si>
  <si>
    <t xml:space="preserve">Şehir </t>
  </si>
  <si>
    <t>xx</t>
  </si>
  <si>
    <t>xxx</t>
  </si>
  <si>
    <t>a</t>
  </si>
  <si>
    <t>c</t>
  </si>
  <si>
    <t>USB-WebApp</t>
  </si>
  <si>
    <t>1,900.00-2,100.00</t>
  </si>
  <si>
    <t>0,70</t>
  </si>
  <si>
    <t>1,700.00-2,200.00</t>
  </si>
  <si>
    <t>0,60-0,70-0,80</t>
  </si>
  <si>
    <t>RGB-WWA-RGBW</t>
  </si>
  <si>
    <t>1,800.00-2,200.00</t>
  </si>
  <si>
    <t>0,50-0,60-0,70</t>
  </si>
  <si>
    <t>USB-Wifi</t>
  </si>
  <si>
    <t>USB-WebApp-100LED</t>
  </si>
  <si>
    <t>1,850.00-2,400.00-1,400.00</t>
  </si>
  <si>
    <t>2,350.00-2,900.00-1,000.00</t>
  </si>
  <si>
    <t>1+, 10+, 20+</t>
  </si>
  <si>
    <t>2,150.00-1,990.00-1,840.00</t>
  </si>
  <si>
    <t>0,70-0,60-0,55</t>
  </si>
  <si>
    <t>0,75-0,65</t>
  </si>
  <si>
    <t>USB-Wifi-WebApp</t>
  </si>
  <si>
    <t>1,600.00-1,900.00-2,200.00</t>
  </si>
  <si>
    <t>23inch Kiosklu</t>
  </si>
  <si>
    <t>aaaaaa</t>
  </si>
  <si>
    <t>Meer Maket</t>
  </si>
  <si>
    <t>Adatepe Mah. 2/20 Sok. No:13  3.Bölge BEGOS  Buca / IZMIR</t>
  </si>
  <si>
    <t>http://www.meermaket.com/</t>
  </si>
  <si>
    <t>0232 264 7117    0505 727 4488</t>
  </si>
  <si>
    <t>maket@meer.com.tr</t>
  </si>
  <si>
    <t>pahalı buldu</t>
  </si>
  <si>
    <t xml:space="preserve">3D Maketçi </t>
  </si>
  <si>
    <t>berker deneme</t>
  </si>
  <si>
    <t>deneme</t>
  </si>
</sst>
</file>

<file path=xl/styles.xml><?xml version="1.0" encoding="utf-8"?>
<styleSheet xmlns="http://schemas.openxmlformats.org/spreadsheetml/2006/main">
  <numFmts count="2">
    <numFmt numFmtId="164" formatCode="_-* #,##0.00\ &quot;₺&quot;_-;\-* #,##0.00\ &quot;₺&quot;_-;_-* &quot;-&quot;??\ &quot;₺&quot;_-;_-@_-"/>
    <numFmt numFmtId="165" formatCode="_-* #,##0.00\ _₺_-;\-* #,##0.00\ _₺_-;_-* &quot;-&quot;??\ _₺_-;_-@_-"/>
  </numFmts>
  <fonts count="21">
    <font>
      <sz val="11"/>
      <color theme="1"/>
      <name val="Calibri"/>
      <family val="2"/>
      <charset val="162"/>
      <scheme val="minor"/>
    </font>
    <font>
      <sz val="11"/>
      <color theme="1"/>
      <name val="Calibri"/>
      <family val="2"/>
      <scheme val="minor"/>
    </font>
    <font>
      <sz val="11"/>
      <color theme="1"/>
      <name val="Calibri"/>
      <family val="2"/>
      <charset val="162"/>
      <scheme val="minor"/>
    </font>
    <font>
      <sz val="11"/>
      <color rgb="FF006100"/>
      <name val="Calibri"/>
      <family val="2"/>
      <charset val="162"/>
      <scheme val="minor"/>
    </font>
    <font>
      <sz val="11"/>
      <color rgb="FF3F3F76"/>
      <name val="Calibri"/>
      <family val="2"/>
      <charset val="162"/>
      <scheme val="minor"/>
    </font>
    <font>
      <b/>
      <sz val="11"/>
      <color rgb="FFFA7D00"/>
      <name val="Calibri"/>
      <family val="2"/>
      <charset val="162"/>
      <scheme val="minor"/>
    </font>
    <font>
      <b/>
      <sz val="11"/>
      <color theme="0"/>
      <name val="Calibri"/>
      <family val="2"/>
      <charset val="162"/>
      <scheme val="minor"/>
    </font>
    <font>
      <sz val="11"/>
      <name val="Aharoni"/>
      <charset val="177"/>
    </font>
    <font>
      <u/>
      <sz val="8.8000000000000007"/>
      <color theme="10"/>
      <name val="Calibri"/>
      <family val="2"/>
      <charset val="162"/>
    </font>
    <font>
      <b/>
      <sz val="15"/>
      <color theme="3"/>
      <name val="Arial"/>
      <family val="2"/>
      <charset val="162"/>
    </font>
    <font>
      <b/>
      <sz val="11"/>
      <color rgb="FF006100"/>
      <name val="Calibri"/>
      <family val="2"/>
      <charset val="162"/>
      <scheme val="minor"/>
    </font>
    <font>
      <sz val="11"/>
      <color theme="0"/>
      <name val="Calibri"/>
      <family val="2"/>
      <charset val="162"/>
      <scheme val="minor"/>
    </font>
    <font>
      <sz val="11"/>
      <color rgb="FF9C0006"/>
      <name val="Calibri"/>
      <family val="2"/>
      <charset val="162"/>
      <scheme val="minor"/>
    </font>
    <font>
      <sz val="11"/>
      <name val="Calibri"/>
      <family val="2"/>
      <charset val="162"/>
      <scheme val="minor"/>
    </font>
    <font>
      <u/>
      <sz val="11"/>
      <color theme="10"/>
      <name val="Calibri"/>
      <family val="2"/>
      <scheme val="minor"/>
    </font>
    <font>
      <u/>
      <sz val="11"/>
      <color rgb="FF0070C0"/>
      <name val="Calibri"/>
      <family val="2"/>
      <scheme val="minor"/>
    </font>
    <font>
      <u/>
      <sz val="11"/>
      <color theme="1"/>
      <name val="Calibri"/>
      <family val="2"/>
      <scheme val="minor"/>
    </font>
    <font>
      <sz val="11"/>
      <color theme="1"/>
      <name val="Calibri"/>
      <family val="2"/>
      <scheme val="minor"/>
    </font>
    <font>
      <sz val="11"/>
      <color rgb="FF0070C0"/>
      <name val="Calibri"/>
      <family val="2"/>
      <scheme val="minor"/>
    </font>
    <font>
      <sz val="11"/>
      <name val="Calibri"/>
      <family val="2"/>
      <scheme val="minor"/>
    </font>
    <font>
      <sz val="11"/>
      <color rgb="FF000000"/>
      <name val="Calibri"/>
      <family val="2"/>
      <charset val="162"/>
      <scheme val="minor"/>
    </font>
  </fonts>
  <fills count="11">
    <fill>
      <patternFill patternType="none"/>
    </fill>
    <fill>
      <patternFill patternType="gray125"/>
    </fill>
    <fill>
      <patternFill patternType="solid">
        <fgColor rgb="FFC6EFCE"/>
      </patternFill>
    </fill>
    <fill>
      <patternFill patternType="solid">
        <fgColor rgb="FFFFCC99"/>
      </patternFill>
    </fill>
    <fill>
      <patternFill patternType="solid">
        <fgColor rgb="FFF2F2F2"/>
      </patternFill>
    </fill>
    <fill>
      <patternFill patternType="solid">
        <fgColor rgb="FFA5A5A5"/>
      </patternFill>
    </fill>
    <fill>
      <patternFill patternType="solid">
        <fgColor indexed="26"/>
        <bgColor indexed="64"/>
      </patternFill>
    </fill>
    <fill>
      <patternFill patternType="solid">
        <fgColor theme="4"/>
      </patternFill>
    </fill>
    <fill>
      <patternFill patternType="solid">
        <fgColor rgb="FFFFC7CE"/>
      </patternFill>
    </fill>
    <fill>
      <patternFill patternType="solid">
        <fgColor theme="4"/>
        <bgColor indexed="64"/>
      </patternFill>
    </fill>
    <fill>
      <patternFill patternType="solid">
        <fgColor theme="0"/>
        <bgColor indexed="64"/>
      </patternFill>
    </fill>
  </fills>
  <borders count="20">
    <border>
      <left/>
      <right/>
      <top/>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indexed="64"/>
      </left>
      <right style="thin">
        <color indexed="64"/>
      </right>
      <top style="thin">
        <color indexed="64"/>
      </top>
      <bottom style="thin">
        <color indexed="64"/>
      </bottom>
      <diagonal/>
    </border>
    <border>
      <left style="double">
        <color rgb="FF3F3F3F"/>
      </left>
      <right style="double">
        <color rgb="FF3F3F3F"/>
      </right>
      <top/>
      <bottom style="double">
        <color rgb="FF3F3F3F"/>
      </bottom>
      <diagonal/>
    </border>
    <border>
      <left style="thin">
        <color indexed="64"/>
      </left>
      <right style="thin">
        <color indexed="64"/>
      </right>
      <top/>
      <bottom/>
      <diagonal/>
    </border>
    <border>
      <left style="double">
        <color rgb="FF3F3F3F"/>
      </left>
      <right style="double">
        <color rgb="FF3F3F3F"/>
      </right>
      <top style="double">
        <color rgb="FF3F3F3F"/>
      </top>
      <bottom/>
      <diagonal/>
    </border>
    <border>
      <left style="thin">
        <color indexed="64"/>
      </left>
      <right style="thin">
        <color indexed="64"/>
      </right>
      <top style="thin">
        <color indexed="64"/>
      </top>
      <bottom/>
      <diagonal/>
    </border>
    <border>
      <left style="double">
        <color rgb="FF3F3F3F"/>
      </left>
      <right/>
      <top style="double">
        <color rgb="FF3F3F3F"/>
      </top>
      <bottom style="double">
        <color rgb="FF3F3F3F"/>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double">
        <color rgb="FF3F3F3F"/>
      </top>
      <bottom style="thin">
        <color indexed="64"/>
      </bottom>
      <diagonal/>
    </border>
    <border>
      <left/>
      <right/>
      <top style="double">
        <color rgb="FF3F3F3F"/>
      </top>
      <bottom style="thin">
        <color indexed="64"/>
      </bottom>
      <diagonal/>
    </border>
    <border>
      <left/>
      <right style="thin">
        <color indexed="64"/>
      </right>
      <top style="double">
        <color rgb="FF3F3F3F"/>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rgb="FF3F3F3F"/>
      </left>
      <right style="double">
        <color rgb="FF3F3F3F"/>
      </right>
      <top/>
      <bottom/>
      <diagonal/>
    </border>
  </borders>
  <cellStyleXfs count="11">
    <xf numFmtId="0" fontId="0" fillId="0" borderId="0"/>
    <xf numFmtId="0" fontId="3" fillId="2" borderId="0" applyNumberFormat="0" applyBorder="0" applyAlignment="0" applyProtection="0"/>
    <xf numFmtId="0" fontId="4" fillId="3" borderId="2" applyNumberFormat="0" applyAlignment="0" applyProtection="0"/>
    <xf numFmtId="0" fontId="5" fillId="4" borderId="2" applyNumberFormat="0" applyAlignment="0" applyProtection="0"/>
    <xf numFmtId="0" fontId="6" fillId="5" borderId="3" applyNumberFormat="0" applyAlignment="0" applyProtection="0"/>
    <xf numFmtId="0" fontId="8" fillId="0" borderId="0" applyNumberFormat="0" applyFill="0" applyBorder="0" applyAlignment="0" applyProtection="0">
      <alignment vertical="top"/>
      <protection locked="0"/>
    </xf>
    <xf numFmtId="0" fontId="9" fillId="0" borderId="1" applyNumberFormat="0" applyFill="0" applyAlignment="0" applyProtection="0"/>
    <xf numFmtId="165" fontId="2" fillId="0" borderId="0" applyFont="0" applyFill="0" applyBorder="0" applyAlignment="0" applyProtection="0"/>
    <xf numFmtId="164" fontId="2" fillId="0" borderId="0" applyFont="0" applyFill="0" applyBorder="0" applyAlignment="0" applyProtection="0"/>
    <xf numFmtId="0" fontId="11" fillId="7" borderId="0" applyNumberFormat="0" applyBorder="0" applyAlignment="0" applyProtection="0"/>
    <xf numFmtId="0" fontId="12" fillId="8" borderId="0" applyNumberFormat="0" applyBorder="0" applyAlignment="0" applyProtection="0"/>
  </cellStyleXfs>
  <cellXfs count="98">
    <xf numFmtId="0" fontId="0" fillId="0" borderId="0" xfId="0"/>
    <xf numFmtId="0" fontId="10" fillId="2" borderId="0" xfId="1" applyFont="1" applyAlignment="1">
      <alignment vertical="center" wrapText="1"/>
    </xf>
    <xf numFmtId="0" fontId="4" fillId="6" borderId="2" xfId="2" applyFill="1" applyAlignment="1">
      <alignment horizontal="center" vertical="top" wrapText="1"/>
    </xf>
    <xf numFmtId="0" fontId="4" fillId="6" borderId="2" xfId="2" applyFill="1" applyAlignment="1">
      <alignment horizontal="left" vertical="top" wrapText="1"/>
    </xf>
    <xf numFmtId="0" fontId="3" fillId="2" borderId="0" xfId="1"/>
    <xf numFmtId="0" fontId="5" fillId="4" borderId="2" xfId="3" applyAlignment="1">
      <alignment vertical="center"/>
    </xf>
    <xf numFmtId="0" fontId="7" fillId="6" borderId="2" xfId="2" applyFont="1" applyFill="1"/>
    <xf numFmtId="0" fontId="4" fillId="6" borderId="2" xfId="2" applyFill="1" applyAlignment="1">
      <alignment vertical="justify" wrapText="1"/>
    </xf>
    <xf numFmtId="0" fontId="6" fillId="5" borderId="3" xfId="4"/>
    <xf numFmtId="0" fontId="4" fillId="6" borderId="2" xfId="2" applyFill="1" applyAlignment="1">
      <alignment horizontal="left" vertical="top"/>
    </xf>
    <xf numFmtId="14" fontId="4" fillId="6" borderId="2" xfId="2" applyNumberFormat="1" applyFill="1" applyAlignment="1">
      <alignment horizontal="left" vertical="top" wrapText="1"/>
    </xf>
    <xf numFmtId="14" fontId="4" fillId="3" borderId="2" xfId="2" applyNumberFormat="1" applyAlignment="1">
      <alignment horizontal="left" vertical="top" wrapText="1"/>
    </xf>
    <xf numFmtId="0" fontId="4" fillId="3" borderId="2" xfId="2" applyAlignment="1">
      <alignment horizontal="left" vertical="top" wrapText="1"/>
    </xf>
    <xf numFmtId="0" fontId="0" fillId="0" borderId="4" xfId="0" applyBorder="1"/>
    <xf numFmtId="0" fontId="0" fillId="0" borderId="4" xfId="0" applyBorder="1" applyAlignment="1">
      <alignment horizontal="center" wrapText="1"/>
    </xf>
    <xf numFmtId="0" fontId="6" fillId="5" borderId="7" xfId="4" applyBorder="1"/>
    <xf numFmtId="14" fontId="4" fillId="6" borderId="4" xfId="2" applyNumberFormat="1" applyFill="1" applyBorder="1" applyAlignment="1">
      <alignment horizontal="left" vertical="top" wrapText="1"/>
    </xf>
    <xf numFmtId="14" fontId="0" fillId="0" borderId="0" xfId="0" applyNumberFormat="1"/>
    <xf numFmtId="0" fontId="0" fillId="0" borderId="8" xfId="0" applyBorder="1"/>
    <xf numFmtId="0" fontId="6" fillId="5" borderId="9" xfId="4" applyBorder="1" applyAlignment="1"/>
    <xf numFmtId="0" fontId="11" fillId="7" borderId="5" xfId="9" applyBorder="1"/>
    <xf numFmtId="0" fontId="6" fillId="7" borderId="5" xfId="9" applyFont="1" applyFill="1" applyBorder="1"/>
    <xf numFmtId="0" fontId="6" fillId="9" borderId="5" xfId="9" applyFont="1" applyFill="1" applyBorder="1"/>
    <xf numFmtId="0" fontId="13" fillId="10" borderId="4" xfId="0" applyFont="1" applyFill="1" applyBorder="1" applyAlignment="1">
      <alignment horizontal="center" vertical="center"/>
    </xf>
    <xf numFmtId="0" fontId="0" fillId="0" borderId="4" xfId="0" applyBorder="1" applyAlignment="1">
      <alignment horizontal="center" vertical="center" wrapText="1"/>
    </xf>
    <xf numFmtId="0" fontId="15" fillId="0" borderId="4" xfId="5" applyFont="1" applyBorder="1" applyAlignment="1" applyProtection="1">
      <alignment horizontal="center" vertical="center" wrapText="1"/>
    </xf>
    <xf numFmtId="0" fontId="17" fillId="0" borderId="4" xfId="0" applyFont="1" applyBorder="1" applyAlignment="1">
      <alignment horizontal="center" vertical="center" wrapText="1"/>
    </xf>
    <xf numFmtId="0" fontId="0" fillId="10" borderId="8" xfId="0" applyFill="1" applyBorder="1" applyAlignment="1">
      <alignment horizontal="center" vertical="center" wrapText="1"/>
    </xf>
    <xf numFmtId="0" fontId="17" fillId="0" borderId="4" xfId="0" applyFont="1" applyBorder="1" applyAlignment="1">
      <alignment horizontal="left" vertical="center" wrapText="1"/>
    </xf>
    <xf numFmtId="0" fontId="17" fillId="0" borderId="4" xfId="0" applyFont="1" applyBorder="1" applyAlignment="1">
      <alignment horizontal="center" vertical="center"/>
    </xf>
    <xf numFmtId="0" fontId="0" fillId="10" borderId="4" xfId="0" applyFill="1" applyBorder="1" applyAlignment="1">
      <alignment horizontal="center" vertical="center" wrapText="1"/>
    </xf>
    <xf numFmtId="0" fontId="15" fillId="10" borderId="4" xfId="5" applyFont="1" applyFill="1" applyBorder="1" applyAlignment="1" applyProtection="1">
      <alignment horizontal="center" vertical="center" wrapText="1"/>
    </xf>
    <xf numFmtId="0" fontId="17" fillId="10" borderId="8" xfId="0" applyFont="1" applyFill="1" applyBorder="1" applyAlignment="1">
      <alignment horizontal="left" vertical="center" wrapText="1"/>
    </xf>
    <xf numFmtId="0" fontId="18" fillId="10" borderId="8" xfId="0" applyFont="1" applyFill="1" applyBorder="1" applyAlignment="1">
      <alignment horizontal="center" vertical="center" wrapText="1"/>
    </xf>
    <xf numFmtId="0" fontId="17" fillId="10" borderId="4" xfId="0" applyFont="1" applyFill="1" applyBorder="1" applyAlignment="1">
      <alignment horizontal="center" vertical="center"/>
    </xf>
    <xf numFmtId="0" fontId="13" fillId="10" borderId="4" xfId="10" applyFont="1" applyFill="1" applyBorder="1" applyAlignment="1">
      <alignment horizontal="center" vertical="center"/>
    </xf>
    <xf numFmtId="0" fontId="18" fillId="10" borderId="4" xfId="10" applyFont="1" applyFill="1" applyBorder="1" applyAlignment="1">
      <alignment horizontal="center" vertical="center" wrapText="1"/>
    </xf>
    <xf numFmtId="0" fontId="17" fillId="10" borderId="4" xfId="10" applyFont="1" applyFill="1" applyBorder="1" applyAlignment="1">
      <alignment horizontal="left" vertical="center" wrapText="1"/>
    </xf>
    <xf numFmtId="0" fontId="18" fillId="10" borderId="4" xfId="10" applyFont="1" applyFill="1" applyBorder="1" applyAlignment="1">
      <alignment horizontal="center" vertical="center"/>
    </xf>
    <xf numFmtId="0" fontId="17" fillId="10" borderId="4" xfId="10" applyFont="1" applyFill="1" applyBorder="1" applyAlignment="1">
      <alignment horizontal="center" vertical="center" wrapText="1"/>
    </xf>
    <xf numFmtId="0" fontId="13" fillId="10" borderId="8" xfId="0" applyFont="1" applyFill="1" applyBorder="1" applyAlignment="1">
      <alignment horizontal="center" vertical="center"/>
    </xf>
    <xf numFmtId="0" fontId="15" fillId="10" borderId="8" xfId="5" applyFont="1" applyFill="1" applyBorder="1" applyAlignment="1" applyProtection="1">
      <alignment horizontal="center" vertical="center" wrapText="1"/>
    </xf>
    <xf numFmtId="0" fontId="17" fillId="10" borderId="8" xfId="0" applyFont="1" applyFill="1" applyBorder="1" applyAlignment="1">
      <alignment horizontal="center" vertical="center"/>
    </xf>
    <xf numFmtId="0" fontId="17" fillId="10" borderId="8" xfId="10" applyFont="1" applyFill="1" applyBorder="1" applyAlignment="1">
      <alignment horizontal="left" vertical="center" wrapText="1"/>
    </xf>
    <xf numFmtId="0" fontId="18" fillId="10" borderId="8" xfId="10" applyFont="1" applyFill="1" applyBorder="1" applyAlignment="1">
      <alignment horizontal="center" vertical="center"/>
    </xf>
    <xf numFmtId="0" fontId="17" fillId="10" borderId="4" xfId="0" applyFont="1" applyFill="1" applyBorder="1" applyAlignment="1">
      <alignment horizontal="left" vertical="center" wrapText="1"/>
    </xf>
    <xf numFmtId="0" fontId="15" fillId="10" borderId="4" xfId="5" applyFont="1" applyFill="1" applyBorder="1" applyAlignment="1" applyProtection="1">
      <alignment horizontal="center" vertical="center"/>
    </xf>
    <xf numFmtId="0" fontId="18" fillId="10" borderId="4" xfId="0" applyFont="1" applyFill="1" applyBorder="1" applyAlignment="1">
      <alignment horizontal="center" vertical="center"/>
    </xf>
    <xf numFmtId="0" fontId="17" fillId="10" borderId="4" xfId="10" applyFont="1" applyFill="1" applyBorder="1" applyAlignment="1">
      <alignment horizontal="center" vertical="center"/>
    </xf>
    <xf numFmtId="0" fontId="14" fillId="10" borderId="4" xfId="5" applyFont="1" applyFill="1" applyBorder="1" applyAlignment="1" applyProtection="1">
      <alignment horizontal="center" vertical="center" wrapText="1"/>
    </xf>
    <xf numFmtId="0" fontId="18" fillId="10" borderId="4" xfId="0" applyFont="1" applyFill="1" applyBorder="1" applyAlignment="1">
      <alignment horizontal="center" vertical="center" wrapText="1"/>
    </xf>
    <xf numFmtId="0" fontId="13" fillId="10" borderId="4" xfId="0" applyFont="1" applyFill="1" applyBorder="1" applyAlignment="1">
      <alignment horizontal="center" vertical="center" wrapText="1"/>
    </xf>
    <xf numFmtId="0" fontId="17" fillId="10" borderId="4" xfId="0" applyFont="1" applyFill="1" applyBorder="1" applyAlignment="1">
      <alignment horizontal="center" vertical="center" wrapText="1"/>
    </xf>
    <xf numFmtId="0" fontId="17" fillId="10" borderId="8" xfId="10" applyFont="1" applyFill="1" applyBorder="1" applyAlignment="1">
      <alignment horizontal="center" vertical="center"/>
    </xf>
    <xf numFmtId="0" fontId="15" fillId="10" borderId="8" xfId="5" applyFont="1" applyFill="1" applyBorder="1" applyAlignment="1" applyProtection="1">
      <alignment horizontal="center" vertical="center"/>
    </xf>
    <xf numFmtId="0" fontId="18" fillId="0" borderId="4" xfId="0" applyFont="1" applyBorder="1" applyAlignment="1">
      <alignment horizontal="center" vertical="center" wrapText="1"/>
    </xf>
    <xf numFmtId="0" fontId="16" fillId="0" borderId="4" xfId="5" applyFont="1" applyBorder="1" applyAlignment="1" applyProtection="1">
      <alignment horizontal="center" vertical="center" wrapText="1"/>
    </xf>
    <xf numFmtId="0" fontId="17" fillId="0" borderId="8" xfId="0" applyFont="1" applyBorder="1" applyAlignment="1">
      <alignment horizontal="left" vertical="center" wrapText="1"/>
    </xf>
    <xf numFmtId="0" fontId="15" fillId="0" borderId="8" xfId="5" applyFont="1" applyBorder="1" applyAlignment="1" applyProtection="1">
      <alignment horizontal="center" vertical="center"/>
    </xf>
    <xf numFmtId="0" fontId="0" fillId="0" borderId="4" xfId="0" applyFill="1" applyBorder="1"/>
    <xf numFmtId="0" fontId="0" fillId="0" borderId="0" xfId="0" applyFill="1" applyBorder="1"/>
    <xf numFmtId="0" fontId="0" fillId="0" borderId="0" xfId="0" applyFill="1"/>
    <xf numFmtId="14" fontId="0" fillId="0" borderId="0" xfId="0" applyNumberFormat="1" applyFill="1"/>
    <xf numFmtId="0" fontId="4" fillId="6" borderId="13" xfId="2" applyFill="1" applyBorder="1" applyAlignment="1">
      <alignment vertical="top"/>
    </xf>
    <xf numFmtId="0" fontId="8" fillId="6" borderId="2" xfId="5" applyFill="1" applyBorder="1" applyAlignment="1" applyProtection="1">
      <alignment vertical="center" wrapText="1"/>
    </xf>
    <xf numFmtId="0" fontId="4" fillId="6" borderId="17" xfId="2" applyFill="1" applyBorder="1" applyAlignment="1">
      <alignment vertical="top"/>
    </xf>
    <xf numFmtId="0" fontId="4" fillId="6" borderId="16" xfId="2" applyFill="1" applyBorder="1" applyAlignment="1">
      <alignment vertical="top"/>
    </xf>
    <xf numFmtId="0" fontId="4" fillId="6" borderId="18" xfId="2" applyFill="1" applyBorder="1" applyAlignment="1">
      <alignment vertical="top"/>
    </xf>
    <xf numFmtId="0" fontId="4" fillId="6" borderId="14" xfId="2" applyFill="1" applyBorder="1" applyAlignment="1">
      <alignment vertical="top"/>
    </xf>
    <xf numFmtId="0" fontId="4" fillId="6" borderId="15" xfId="2" applyFill="1" applyBorder="1" applyAlignment="1">
      <alignment vertical="top"/>
    </xf>
    <xf numFmtId="0" fontId="4" fillId="6" borderId="10" xfId="2" applyFill="1" applyBorder="1" applyAlignment="1">
      <alignment vertical="top"/>
    </xf>
    <xf numFmtId="0" fontId="4" fillId="6" borderId="11" xfId="2" applyFill="1" applyBorder="1" applyAlignment="1">
      <alignment vertical="top"/>
    </xf>
    <xf numFmtId="0" fontId="4" fillId="6" borderId="12" xfId="2" applyFill="1" applyBorder="1" applyAlignment="1">
      <alignment vertical="top"/>
    </xf>
    <xf numFmtId="4" fontId="0" fillId="0" borderId="0" xfId="0" applyNumberFormat="1"/>
    <xf numFmtId="14" fontId="0" fillId="0" borderId="0" xfId="0" applyNumberFormat="1" applyFill="1"/>
    <xf numFmtId="4" fontId="0" fillId="0" borderId="0" xfId="0" applyNumberFormat="1" applyFill="1"/>
    <xf numFmtId="0" fontId="15" fillId="0" borderId="8" xfId="0" applyFont="1" applyBorder="1" applyAlignment="1" applyProtection="1">
      <alignment horizontal="center" vertical="center" wrapText="1"/>
    </xf>
    <xf numFmtId="0" fontId="19" fillId="10" borderId="8" xfId="0" applyFont="1" applyFill="1" applyBorder="1" applyAlignment="1">
      <alignment horizontal="center" vertical="center"/>
    </xf>
    <xf numFmtId="0" fontId="1" fillId="0" borderId="8" xfId="0" applyFont="1" applyFill="1" applyBorder="1" applyAlignment="1">
      <alignment horizontal="center" vertical="center" wrapText="1"/>
    </xf>
    <xf numFmtId="0" fontId="1" fillId="0" borderId="4" xfId="0" applyFont="1" applyBorder="1" applyAlignment="1">
      <alignment horizontal="left" vertical="center" wrapText="1"/>
    </xf>
    <xf numFmtId="0" fontId="8" fillId="0" borderId="8" xfId="5" applyBorder="1" applyAlignment="1" applyProtection="1">
      <alignment horizontal="center" vertical="center" wrapText="1"/>
    </xf>
    <xf numFmtId="14" fontId="0" fillId="0" borderId="0" xfId="0" applyNumberFormat="1" applyFill="1" applyBorder="1"/>
    <xf numFmtId="0" fontId="11" fillId="7" borderId="19" xfId="9" applyBorder="1"/>
    <xf numFmtId="0" fontId="0" fillId="0" borderId="0" xfId="0" applyBorder="1"/>
    <xf numFmtId="14" fontId="0" fillId="0" borderId="0" xfId="0" applyNumberFormat="1" applyBorder="1" applyAlignment="1">
      <alignment horizontal="center" wrapText="1"/>
    </xf>
    <xf numFmtId="0" fontId="0" fillId="0" borderId="0" xfId="0" applyBorder="1" applyAlignment="1">
      <alignment horizontal="center" wrapText="1"/>
    </xf>
    <xf numFmtId="0" fontId="0" fillId="0" borderId="0" xfId="0" applyFill="1" applyBorder="1" applyAlignment="1">
      <alignment horizontal="center" wrapText="1"/>
    </xf>
    <xf numFmtId="14" fontId="0" fillId="0" borderId="0" xfId="0" applyNumberFormat="1" applyFill="1" applyBorder="1" applyAlignment="1">
      <alignment horizontal="center" wrapText="1"/>
    </xf>
    <xf numFmtId="0" fontId="0" fillId="0" borderId="0" xfId="0" quotePrefix="1" applyBorder="1" applyAlignment="1">
      <alignment horizontal="center" wrapText="1"/>
    </xf>
    <xf numFmtId="14" fontId="0" fillId="0" borderId="0" xfId="0" applyNumberFormat="1" applyBorder="1" applyAlignment="1">
      <alignment horizontal="center"/>
    </xf>
    <xf numFmtId="0" fontId="0" fillId="0" borderId="0" xfId="0" applyBorder="1" applyAlignment="1">
      <alignment horizontal="center"/>
    </xf>
    <xf numFmtId="0" fontId="0" fillId="0" borderId="0" xfId="0" applyBorder="1" applyAlignment="1">
      <alignment wrapText="1"/>
    </xf>
    <xf numFmtId="0" fontId="0" fillId="0" borderId="6" xfId="0" applyBorder="1" applyAlignment="1">
      <alignment horizontal="center" wrapText="1"/>
    </xf>
    <xf numFmtId="14" fontId="0" fillId="0" borderId="0" xfId="0" applyNumberFormat="1" applyFill="1"/>
    <xf numFmtId="14" fontId="0" fillId="0" borderId="0" xfId="0" applyNumberFormat="1" applyFill="1" applyAlignment="1">
      <alignment horizontal="center" wrapText="1"/>
    </xf>
    <xf numFmtId="0" fontId="0" fillId="0" borderId="0" xfId="0" applyFill="1" applyAlignment="1">
      <alignment horizontal="center" wrapText="1"/>
    </xf>
    <xf numFmtId="0" fontId="6" fillId="5" borderId="3" xfId="4" applyAlignment="1">
      <alignment horizontal="center"/>
    </xf>
    <xf numFmtId="0" fontId="3" fillId="2" borderId="0" xfId="1" applyAlignment="1">
      <alignment horizontal="center" vertical="center"/>
    </xf>
  </cellXfs>
  <cellStyles count="11">
    <cellStyle name="Başlık 1 2" xfId="6"/>
    <cellStyle name="Binlik Ayracı 2" xfId="7"/>
    <cellStyle name="Giriş" xfId="2" builtinId="20"/>
    <cellStyle name="Hesaplama" xfId="3" builtinId="22"/>
    <cellStyle name="İşaretli Hücre" xfId="4" builtinId="23"/>
    <cellStyle name="İyi" xfId="1" builtinId="26"/>
    <cellStyle name="Köprü" xfId="5" builtinId="8"/>
    <cellStyle name="Kötü" xfId="10" builtinId="27"/>
    <cellStyle name="Normal" xfId="0" builtinId="0"/>
    <cellStyle name="ParaBirimi 2" xfId="8"/>
    <cellStyle name="Vurgu1" xfId="9" builtinId="29"/>
  </cellStyles>
  <dxfs count="39">
    <dxf>
      <alignment horizontal="center" vertical="bottom" textRotation="0" wrapText="1" indent="0" relativeIndent="0" justifyLastLine="0" shrinkToFit="0" readingOrder="0"/>
    </dxf>
    <dxf>
      <numFmt numFmtId="19" formatCode="dd/mm/yyyy"/>
      <alignment horizontal="center" vertical="bottom" textRotation="0" wrapText="1" indent="0" relativeIndent="0" justifyLastLine="0" shrinkToFit="0" readingOrder="0"/>
    </dxf>
    <dxf>
      <border outline="0">
        <top style="double">
          <color rgb="FF3F3F3F"/>
        </top>
        <bottom style="thin">
          <color rgb="FF7F7F7F"/>
        </bottom>
      </border>
    </dxf>
    <dxf>
      <border outline="0">
        <bottom style="double">
          <color rgb="FF3F3F3F"/>
        </bottom>
      </border>
    </dxf>
    <dxf>
      <border diagonalUp="0" diagonalDown="0" outline="0">
        <left style="double">
          <color rgb="FF3F3F3F"/>
        </left>
        <right style="double">
          <color rgb="FF3F3F3F"/>
        </right>
        <top/>
        <bottom/>
      </border>
    </dxf>
    <dxf>
      <numFmt numFmtId="19" formatCode="dd/mm/yyyy"/>
    </dxf>
    <dxf>
      <border outline="0">
        <bottom style="double">
          <color rgb="FF3F3F3F"/>
        </bottom>
      </border>
    </dxf>
    <dxf>
      <border diagonalUp="0" diagonalDown="0" outline="0">
        <left style="double">
          <color rgb="FF3F3F3F"/>
        </left>
        <right style="double">
          <color rgb="FF3F3F3F"/>
        </right>
        <top/>
        <bottom/>
      </border>
    </dxf>
    <dxf>
      <numFmt numFmtId="19" formatCode="dd/mm/yyyy"/>
    </dxf>
    <dxf>
      <border outline="0">
        <top style="double">
          <color rgb="FF3F3F3F"/>
        </top>
      </border>
    </dxf>
    <dxf>
      <border outline="0">
        <bottom style="double">
          <color rgb="FF3F3F3F"/>
        </bottom>
      </border>
    </dxf>
    <dxf>
      <border diagonalUp="0" diagonalDown="0" outline="0">
        <left style="double">
          <color rgb="FF3F3F3F"/>
        </left>
        <right style="double">
          <color rgb="FF3F3F3F"/>
        </right>
        <top/>
        <bottom/>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outline="0">
        <top style="double">
          <color rgb="FF3F3F3F"/>
        </top>
        <bottom style="thin">
          <color indexed="64"/>
        </bottom>
      </border>
    </dxf>
    <dxf>
      <border outline="0">
        <bottom style="double">
          <color rgb="FF3F3F3F"/>
        </bottom>
      </border>
    </dxf>
    <dxf>
      <border diagonalUp="0" diagonalDown="0" outline="0">
        <left style="double">
          <color rgb="FF3F3F3F"/>
        </left>
        <right style="double">
          <color rgb="FF3F3F3F"/>
        </right>
        <top/>
        <bottom/>
      </border>
    </dxf>
    <dxf>
      <fill>
        <patternFill patternType="solid">
          <fgColor indexed="64"/>
          <bgColor theme="0"/>
        </patternFill>
      </fill>
      <alignment horizontal="center" vertical="center" textRotation="0" wrapText="1" indent="0" relative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1"/>
        <color theme="1"/>
        <name val="Calibri"/>
        <scheme val="minor"/>
      </font>
      <alignment horizontal="center" vertical="center" textRotation="0" wrapText="1" inden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ertAlign val="baseline"/>
        <sz val="11"/>
        <color rgb="FF0070C0"/>
        <name val="Calibri"/>
        <scheme val="minor"/>
      </font>
      <alignment horizontal="center" vertical="center" textRotation="0" wrapText="1" indent="0" relative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ertAlign val="baseline"/>
        <sz val="11"/>
        <color theme="1"/>
        <name val="Calibri"/>
        <scheme val="minor"/>
      </font>
      <alignment horizontal="center" vertical="center" textRotation="0" wrapText="1" indent="0" relativeIndent="0" justifyLastLine="0" shrinkToFit="0" readingOrder="0"/>
      <border diagonalUp="0" diagonalDown="0">
        <left style="thin">
          <color indexed="64"/>
        </left>
        <right style="thin">
          <color indexed="64"/>
        </right>
        <top style="thin">
          <color indexed="64"/>
        </top>
        <bottom/>
        <vertical/>
        <horizontal/>
      </border>
      <protection locked="1" hidden="0"/>
    </dxf>
    <dxf>
      <font>
        <b val="0"/>
        <i val="0"/>
        <strike val="0"/>
        <condense val="0"/>
        <extend val="0"/>
        <outline val="0"/>
        <shadow val="0"/>
        <u/>
        <vertAlign val="baseline"/>
        <sz val="11"/>
        <color rgb="FF0070C0"/>
        <name val="Calibri"/>
        <scheme val="minor"/>
      </font>
      <alignment horizontal="center" vertical="center" textRotation="0" wrapText="1" indent="0" relativeIndent="0" justifyLastLine="0" shrinkToFit="0" readingOrder="0"/>
      <border diagonalUp="0" diagonalDown="0">
        <left style="thin">
          <color indexed="64"/>
        </left>
        <right style="thin">
          <color indexed="64"/>
        </right>
        <top style="thin">
          <color indexed="64"/>
        </top>
        <bottom/>
        <vertical/>
        <horizontal/>
      </border>
      <protection locked="1" hidden="0"/>
    </dxf>
    <dxf>
      <alignment horizontal="center" vertical="center" textRotation="0" wrapText="1" indent="0" relative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solid">
          <fgColor indexed="64"/>
          <bgColor theme="0"/>
        </patternFill>
      </fill>
      <alignment horizontal="center" vertical="center" textRotation="0" wrapText="0" indent="0" relative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rgb="FF7F7F7F"/>
        </top>
      </border>
    </dxf>
    <dxf>
      <border outline="0">
        <top style="double">
          <color rgb="FF3F3F3F"/>
        </top>
        <bottom style="thin">
          <color rgb="FF7F7F7F"/>
        </bottom>
      </border>
    </dxf>
    <dxf>
      <border outline="0">
        <bottom style="double">
          <color rgb="FF3F3F3F"/>
        </bottom>
      </border>
    </dxf>
    <dxf>
      <font>
        <b/>
        <i val="0"/>
        <strike val="0"/>
        <condense val="0"/>
        <extend val="0"/>
        <outline val="0"/>
        <shadow val="0"/>
        <u val="none"/>
        <vertAlign val="baseline"/>
        <sz val="11"/>
        <color theme="0"/>
        <name val="Calibri"/>
        <scheme val="minor"/>
      </font>
      <fill>
        <patternFill patternType="solid">
          <fgColor indexed="64"/>
          <bgColor theme="4"/>
        </patternFill>
      </fill>
      <border diagonalUp="0" diagonalDown="0" outline="0">
        <left style="double">
          <color rgb="FF3F3F3F"/>
        </left>
        <right style="double">
          <color rgb="FF3F3F3F"/>
        </right>
        <top/>
        <bottom/>
      </border>
    </dxf>
  </dxfs>
  <tableStyles count="1" defaultTableStyle="TableStyleMedium2" defaultPivotStyle="PivotStyleLight16">
    <tableStyle name="CRM"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tables/table1.xml><?xml version="1.0" encoding="utf-8"?>
<table xmlns="http://schemas.openxmlformats.org/spreadsheetml/2006/main" id="8" name="MusteriTablo" displayName="MusteriTablo" ref="A1:G82" totalsRowShown="0" headerRowDxfId="38" headerRowBorderDxfId="37" tableBorderDxfId="36" totalsRowBorderDxfId="35">
  <autoFilter ref="A1:G82"/>
  <sortState ref="A2:G81">
    <sortCondition ref="A1:A81"/>
  </sortState>
  <tableColumns count="7">
    <tableColumn id="1" name="Müşteri" dataDxfId="34" dataCellStyle="Normal"/>
    <tableColumn id="2" name="Adres" dataDxfId="33" dataCellStyle="Normal"/>
    <tableColumn id="3" name="Web Sitesi" dataDxfId="32"/>
    <tableColumn id="4" name="Telefon No" dataDxfId="31"/>
    <tableColumn id="5" name="E-posta" dataDxfId="30"/>
    <tableColumn id="6" name="Şehir" dataDxfId="29" dataCellStyle="Normal"/>
    <tableColumn id="7" name="İlgili Kişi" dataDxfId="28" dataCellStyle="Normal"/>
  </tableColumns>
  <tableStyleInfo name="TableStyleMedium21" showFirstColumn="0" showLastColumn="0" showRowStripes="1" showColumnStripes="0"/>
</table>
</file>

<file path=xl/tables/table2.xml><?xml version="1.0" encoding="utf-8"?>
<table xmlns="http://schemas.openxmlformats.org/spreadsheetml/2006/main" id="7" name="GenelBilgilerTablo" displayName="GenelBilgilerTablo" ref="A1:M73" totalsRowShown="0" headerRowDxfId="27" headerRowBorderDxfId="26" tableBorderDxfId="25">
  <autoFilter ref="A1:M73"/>
  <sortState ref="A2:M70">
    <sortCondition ref="G1:G70"/>
  </sortState>
  <tableColumns count="13">
    <tableColumn id="1" name="Müşteri" dataDxfId="24"/>
    <tableColumn id="2" name="LED Renk Tercihi" dataDxfId="23"/>
    <tableColumn id="3" name="LED Renk duyarlılığı" dataDxfId="22"/>
    <tableColumn id="4" name="Sistem Tercihi" dataDxfId="21"/>
    <tableColumn id="5" name="Sistem Yorumu" dataDxfId="20"/>
    <tableColumn id="6" name="Fiyat Duyarlılığı" dataDxfId="19"/>
    <tableColumn id="7" name="Fiyat Yorumu" dataDxfId="18"/>
    <tableColumn id="8" name="Müşteri Genel Yorumu" dataDxfId="17"/>
    <tableColumn id="9" name="Hareketli Maket İsteği " dataDxfId="16"/>
    <tableColumn id="10" name="Diğer İstekler" dataDxfId="15"/>
    <tableColumn id="11" name="Hizmet Yorumu" dataDxfId="14"/>
    <tableColumn id="12" name="Bizim Yorumumuz" dataDxfId="13"/>
    <tableColumn id="13" name="Diğer" dataDxfId="12"/>
  </tableColumns>
  <tableStyleInfo name="TableStyleMedium21" showFirstColumn="0" showLastColumn="0" showRowStripes="1" showColumnStripes="0"/>
</table>
</file>

<file path=xl/tables/table3.xml><?xml version="1.0" encoding="utf-8"?>
<table xmlns="http://schemas.openxmlformats.org/spreadsheetml/2006/main" id="2" name="TekliflerTablo" displayName="TekliflerTablo" ref="A1:L100" totalsRowShown="0" headerRowDxfId="11" headerRowBorderDxfId="10" tableBorderDxfId="9" dataCellStyle="Normal">
  <autoFilter ref="A1:L100"/>
  <sortState ref="A2:L100">
    <sortCondition ref="A2:A100"/>
    <sortCondition descending="1" ref="B2:B100"/>
  </sortState>
  <tableColumns count="12">
    <tableColumn id="1" name="Müşteri" dataCellStyle="Normal"/>
    <tableColumn id="2" name="Teklif Tarihi" dataDxfId="8" dataCellStyle="Normal"/>
    <tableColumn id="3" name="Sistem" dataCellStyle="Normal"/>
    <tableColumn id="4" name="Kart Adedi" dataCellStyle="Normal"/>
    <tableColumn id="5" name="LED adedi" dataCellStyle="Normal"/>
    <tableColumn id="6" name="LED Tipi" dataCellStyle="Normal"/>
    <tableColumn id="7" name="Kart Birim Fiyat" dataCellStyle="Normal"/>
    <tableColumn id="8" name="LED Birim Fiyat" dataCellStyle="Normal"/>
    <tableColumn id="9" name="Toplam Teklif Tutarı " dataCellStyle="Normal"/>
    <tableColumn id="10" name="Kur" dataCellStyle="Normal"/>
    <tableColumn id="11" name="Teklif No" dataCellStyle="Normal"/>
    <tableColumn id="12" name="Durum" dataCellStyle="Normal"/>
  </tableColumns>
  <tableStyleInfo name="TableStyleMedium21" showFirstColumn="0" showLastColumn="0" showRowStripes="1" showColumnStripes="0"/>
</table>
</file>

<file path=xl/tables/table4.xml><?xml version="1.0" encoding="utf-8"?>
<table xmlns="http://schemas.openxmlformats.org/spreadsheetml/2006/main" id="3" name="SiparisTablo" displayName="SiparisTablo" ref="A1:L87" totalsRowShown="0" headerRowDxfId="7" headerRowBorderDxfId="6" dataCellStyle="Normal">
  <autoFilter ref="A1:L87"/>
  <sortState ref="A2:L87">
    <sortCondition ref="A2:A87"/>
    <sortCondition descending="1" ref="B2:B87"/>
  </sortState>
  <tableColumns count="12">
    <tableColumn id="1" name="Müşteri" dataCellStyle="Normal"/>
    <tableColumn id="2" name="Sipariş Tarihi" dataDxfId="5" dataCellStyle="Normal"/>
    <tableColumn id="3" name="Sistem" dataCellStyle="Normal"/>
    <tableColumn id="4" name="Kart Adedi" dataCellStyle="Normal"/>
    <tableColumn id="5" name="LED adedi" dataCellStyle="Normal"/>
    <tableColumn id="6" name="LED Tipi" dataCellStyle="Normal"/>
    <tableColumn id="7" name="Kart Birim Fiyat" dataCellStyle="Normal"/>
    <tableColumn id="8" name="LED Birim Fiyat" dataCellStyle="Normal"/>
    <tableColumn id="9" name="Toplam Teklif Tutarı " dataCellStyle="Normal"/>
    <tableColumn id="10" name="Kur" dataCellStyle="Normal"/>
    <tableColumn id="11" name="Sipariş No" dataCellStyle="Normal"/>
    <tableColumn id="12" name="Durum" dataCellStyle="Normal"/>
  </tableColumns>
  <tableStyleInfo name="TableStyleMedium21" showFirstColumn="0" showLastColumn="0" showRowStripes="1" showColumnStripes="0"/>
</table>
</file>

<file path=xl/tables/table5.xml><?xml version="1.0" encoding="utf-8"?>
<table xmlns="http://schemas.openxmlformats.org/spreadsheetml/2006/main" id="6" name="GorusmelerTablo" displayName="GorusmelerTablo" ref="A1:C180" totalsRowShown="0" headerRowDxfId="4" headerRowBorderDxfId="3" tableBorderDxfId="2">
  <autoFilter ref="A1:C180"/>
  <sortState ref="A2:C180">
    <sortCondition ref="A2:A180"/>
    <sortCondition descending="1" ref="B2:B180"/>
  </sortState>
  <tableColumns count="3">
    <tableColumn id="1" name="Müşteri" dataCellStyle="Normal"/>
    <tableColumn id="2" name="Görüşme Tarihi" dataDxfId="1" dataCellStyle="Normal"/>
    <tableColumn id="3" name="Görüşme Ayrıntısı" dataDxfId="0" dataCellStyle="Normal"/>
  </tableColumns>
  <tableStyleInfo name="TableStyleMedium21" showFirstColumn="0" showLastColumn="0" showRowStripes="1" showColumnStripes="0"/>
</table>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7" Type="http://schemas.openxmlformats.org/officeDocument/2006/relationships/ctrlProp" Target="../ctrlProps/ctrlProp4.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6" Type="http://schemas.openxmlformats.org/officeDocument/2006/relationships/hyperlink" Target="http://www.selvimaket.com/" TargetMode="External"/><Relationship Id="rId117" Type="http://schemas.openxmlformats.org/officeDocument/2006/relationships/hyperlink" Target="http://www.mimarimaketizmir.com/" TargetMode="External"/><Relationship Id="rId21" Type="http://schemas.openxmlformats.org/officeDocument/2006/relationships/hyperlink" Target="http://www.deltamaket.com/" TargetMode="External"/><Relationship Id="rId42" Type="http://schemas.openxmlformats.org/officeDocument/2006/relationships/hyperlink" Target="mailto:info@maketevi.com" TargetMode="External"/><Relationship Id="rId47" Type="http://schemas.openxmlformats.org/officeDocument/2006/relationships/hyperlink" Target="mailto:destek@cizgimaket.com" TargetMode="External"/><Relationship Id="rId63" Type="http://schemas.openxmlformats.org/officeDocument/2006/relationships/hyperlink" Target="mailto:info@atolye78.com" TargetMode="External"/><Relationship Id="rId68" Type="http://schemas.openxmlformats.org/officeDocument/2006/relationships/hyperlink" Target="mailto:anatoliamaket@hotmail.com" TargetMode="External"/><Relationship Id="rId84" Type="http://schemas.openxmlformats.org/officeDocument/2006/relationships/hyperlink" Target="http://www.linamaket.com/" TargetMode="External"/><Relationship Id="rId89" Type="http://schemas.openxmlformats.org/officeDocument/2006/relationships/hyperlink" Target="http://www.3dmedya.net/" TargetMode="External"/><Relationship Id="rId112" Type="http://schemas.openxmlformats.org/officeDocument/2006/relationships/hyperlink" Target="http://www.armimaket.com/" TargetMode="External"/><Relationship Id="rId16" Type="http://schemas.openxmlformats.org/officeDocument/2006/relationships/hyperlink" Target="http://www.maketronik.com/" TargetMode="External"/><Relationship Id="rId107" Type="http://schemas.openxmlformats.org/officeDocument/2006/relationships/hyperlink" Target="mailto:modelart@modelart.com.tr" TargetMode="External"/><Relationship Id="rId11" Type="http://schemas.openxmlformats.org/officeDocument/2006/relationships/hyperlink" Target="http://izlencebilisim.com/maketsan/index.php?sayfa=iletisim" TargetMode="External"/><Relationship Id="rId32" Type="http://schemas.openxmlformats.org/officeDocument/2006/relationships/hyperlink" Target="http://www.promaktasarim.com.tr/" TargetMode="External"/><Relationship Id="rId37" Type="http://schemas.openxmlformats.org/officeDocument/2006/relationships/hyperlink" Target="mailto:mavimaket@gmail.com" TargetMode="External"/><Relationship Id="rId53" Type="http://schemas.openxmlformats.org/officeDocument/2006/relationships/hyperlink" Target="mailto:siluetmaket@gmail.com" TargetMode="External"/><Relationship Id="rId58" Type="http://schemas.openxmlformats.org/officeDocument/2006/relationships/hyperlink" Target="mailto:ankotr@gmail.com" TargetMode="External"/><Relationship Id="rId74" Type="http://schemas.openxmlformats.org/officeDocument/2006/relationships/hyperlink" Target="http://www.beyazmaket.com/" TargetMode="External"/><Relationship Id="rId79" Type="http://schemas.openxmlformats.org/officeDocument/2006/relationships/hyperlink" Target="http://www.objemaket.com/" TargetMode="External"/><Relationship Id="rId102" Type="http://schemas.openxmlformats.org/officeDocument/2006/relationships/hyperlink" Target="http://www.atesmaket.com.tr/" TargetMode="External"/><Relationship Id="rId123" Type="http://schemas.openxmlformats.org/officeDocument/2006/relationships/hyperlink" Target="http://www.maketgrup.com.tr/" TargetMode="External"/><Relationship Id="rId128" Type="http://schemas.openxmlformats.org/officeDocument/2006/relationships/hyperlink" Target="http://www.maketevi.com/" TargetMode="External"/><Relationship Id="rId5" Type="http://schemas.openxmlformats.org/officeDocument/2006/relationships/hyperlink" Target="mailto:makethane@marimeks.com.tr" TargetMode="External"/><Relationship Id="rId90" Type="http://schemas.openxmlformats.org/officeDocument/2006/relationships/hyperlink" Target="http://sanatmaket.com/" TargetMode="External"/><Relationship Id="rId95" Type="http://schemas.openxmlformats.org/officeDocument/2006/relationships/hyperlink" Target="http://www.promayapi.com.tr/" TargetMode="External"/><Relationship Id="rId19" Type="http://schemas.openxmlformats.org/officeDocument/2006/relationships/hyperlink" Target="http://www.pozitifmaket.com/" TargetMode="External"/><Relationship Id="rId14" Type="http://schemas.openxmlformats.org/officeDocument/2006/relationships/hyperlink" Target="http://www.onurmaket.com/ana-sayfa" TargetMode="External"/><Relationship Id="rId22" Type="http://schemas.openxmlformats.org/officeDocument/2006/relationships/hyperlink" Target="http://www.artemaket.com/" TargetMode="External"/><Relationship Id="rId27" Type="http://schemas.openxmlformats.org/officeDocument/2006/relationships/hyperlink" Target="http://www.manhattanmimarimaket.com/" TargetMode="External"/><Relationship Id="rId30" Type="http://schemas.openxmlformats.org/officeDocument/2006/relationships/hyperlink" Target="http://www.modelmaketatolyesi.com/" TargetMode="External"/><Relationship Id="rId35" Type="http://schemas.openxmlformats.org/officeDocument/2006/relationships/hyperlink" Target="mailto:info@maketizmir.com" TargetMode="External"/><Relationship Id="rId43" Type="http://schemas.openxmlformats.org/officeDocument/2006/relationships/hyperlink" Target="mailto:tasarimmaket@hotmail.com" TargetMode="External"/><Relationship Id="rId48" Type="http://schemas.openxmlformats.org/officeDocument/2006/relationships/hyperlink" Target="mailto:info@teknikmaket.com" TargetMode="External"/><Relationship Id="rId56" Type="http://schemas.openxmlformats.org/officeDocument/2006/relationships/hyperlink" Target="mailto:mehmettokgoz@hotmail.com" TargetMode="External"/><Relationship Id="rId64" Type="http://schemas.openxmlformats.org/officeDocument/2006/relationships/hyperlink" Target="mailto:info@promayapi.com.tr" TargetMode="External"/><Relationship Id="rId69" Type="http://schemas.openxmlformats.org/officeDocument/2006/relationships/hyperlink" Target="http://www.arcmaketevi.com/" TargetMode="External"/><Relationship Id="rId77" Type="http://schemas.openxmlformats.org/officeDocument/2006/relationships/hyperlink" Target="http://www.atolye250.com/" TargetMode="External"/><Relationship Id="rId100" Type="http://schemas.openxmlformats.org/officeDocument/2006/relationships/hyperlink" Target="mailto:burak@mimarbey.com" TargetMode="External"/><Relationship Id="rId105" Type="http://schemas.openxmlformats.org/officeDocument/2006/relationships/hyperlink" Target="http://www.samemaket.com/" TargetMode="External"/><Relationship Id="rId113" Type="http://schemas.openxmlformats.org/officeDocument/2006/relationships/hyperlink" Target="http://www.maketgrup.com.tr/" TargetMode="External"/><Relationship Id="rId118" Type="http://schemas.openxmlformats.org/officeDocument/2006/relationships/hyperlink" Target="http://www.avcidijital.com/" TargetMode="External"/><Relationship Id="rId126" Type="http://schemas.openxmlformats.org/officeDocument/2006/relationships/hyperlink" Target="http://www.royalmaket.com/" TargetMode="External"/><Relationship Id="rId8" Type="http://schemas.openxmlformats.org/officeDocument/2006/relationships/hyperlink" Target="mailto:info@manhattanmimarimaket.com" TargetMode="External"/><Relationship Id="rId51" Type="http://schemas.openxmlformats.org/officeDocument/2006/relationships/hyperlink" Target="mailto:info@atesmaket.com.tr" TargetMode="External"/><Relationship Id="rId72" Type="http://schemas.openxmlformats.org/officeDocument/2006/relationships/hyperlink" Target="mailto:info@bilkamaket.com" TargetMode="External"/><Relationship Id="rId80" Type="http://schemas.openxmlformats.org/officeDocument/2006/relationships/hyperlink" Target="http://www.makermaketci.com/" TargetMode="External"/><Relationship Id="rId85" Type="http://schemas.openxmlformats.org/officeDocument/2006/relationships/hyperlink" Target="mailto:linatasarim@gmail.com" TargetMode="External"/><Relationship Id="rId93" Type="http://schemas.openxmlformats.org/officeDocument/2006/relationships/hyperlink" Target="http://www.kudat.com.tr/" TargetMode="External"/><Relationship Id="rId98" Type="http://schemas.openxmlformats.org/officeDocument/2006/relationships/hyperlink" Target="http://www.maketevi.com/" TargetMode="External"/><Relationship Id="rId121" Type="http://schemas.openxmlformats.org/officeDocument/2006/relationships/hyperlink" Target="http://www.atolye77.com.tr/" TargetMode="External"/><Relationship Id="rId3" Type="http://schemas.openxmlformats.org/officeDocument/2006/relationships/hyperlink" Target="mailto:info@sihirlimaket.com" TargetMode="External"/><Relationship Id="rId12" Type="http://schemas.openxmlformats.org/officeDocument/2006/relationships/hyperlink" Target="mailto:promaktasarim@gmail.com" TargetMode="External"/><Relationship Id="rId17" Type="http://schemas.openxmlformats.org/officeDocument/2006/relationships/hyperlink" Target="http://www.urfamaket.com/" TargetMode="External"/><Relationship Id="rId25" Type="http://schemas.openxmlformats.org/officeDocument/2006/relationships/hyperlink" Target="http://www.maketizmir.com/" TargetMode="External"/><Relationship Id="rId33" Type="http://schemas.openxmlformats.org/officeDocument/2006/relationships/hyperlink" Target="http://www.cinarmaket.com/" TargetMode="External"/><Relationship Id="rId38" Type="http://schemas.openxmlformats.org/officeDocument/2006/relationships/hyperlink" Target="mailto:info@atolyek.com" TargetMode="External"/><Relationship Id="rId46" Type="http://schemas.openxmlformats.org/officeDocument/2006/relationships/hyperlink" Target="mailto:info@atolye77.com.tr" TargetMode="External"/><Relationship Id="rId59" Type="http://schemas.openxmlformats.org/officeDocument/2006/relationships/hyperlink" Target="mailto:info@objemaket.com" TargetMode="External"/><Relationship Id="rId67" Type="http://schemas.openxmlformats.org/officeDocument/2006/relationships/hyperlink" Target="mailto:info@beyazmaket.com" TargetMode="External"/><Relationship Id="rId103" Type="http://schemas.openxmlformats.org/officeDocument/2006/relationships/hyperlink" Target="http://www.kucukatolye.com/" TargetMode="External"/><Relationship Id="rId108" Type="http://schemas.openxmlformats.org/officeDocument/2006/relationships/hyperlink" Target="http://www.modelart.com.tr/" TargetMode="External"/><Relationship Id="rId116" Type="http://schemas.openxmlformats.org/officeDocument/2006/relationships/hyperlink" Target="http://sihirlimaket.com/" TargetMode="External"/><Relationship Id="rId124" Type="http://schemas.openxmlformats.org/officeDocument/2006/relationships/hyperlink" Target="http://www.siluetmaket.com/" TargetMode="External"/><Relationship Id="rId129" Type="http://schemas.openxmlformats.org/officeDocument/2006/relationships/hyperlink" Target="mailto:maket@meer.com.tr" TargetMode="External"/><Relationship Id="rId20" Type="http://schemas.openxmlformats.org/officeDocument/2006/relationships/hyperlink" Target="http://vektormaket.net/" TargetMode="External"/><Relationship Id="rId41" Type="http://schemas.openxmlformats.org/officeDocument/2006/relationships/hyperlink" Target="mailto:info@arcmaketevi.com" TargetMode="External"/><Relationship Id="rId54" Type="http://schemas.openxmlformats.org/officeDocument/2006/relationships/hyperlink" Target="mailto:vizyonmaket@gmail.com" TargetMode="External"/><Relationship Id="rId62" Type="http://schemas.openxmlformats.org/officeDocument/2006/relationships/hyperlink" Target="mailto:info@atolye96.com" TargetMode="External"/><Relationship Id="rId70" Type="http://schemas.openxmlformats.org/officeDocument/2006/relationships/hyperlink" Target="http://www.sistemmaket.com/" TargetMode="External"/><Relationship Id="rId75" Type="http://schemas.openxmlformats.org/officeDocument/2006/relationships/hyperlink" Target="http://www.atolye360.net/" TargetMode="External"/><Relationship Id="rId83" Type="http://schemas.openxmlformats.org/officeDocument/2006/relationships/hyperlink" Target="mailto:3dmaketci@gmail.com" TargetMode="External"/><Relationship Id="rId88" Type="http://schemas.openxmlformats.org/officeDocument/2006/relationships/hyperlink" Target="http://www.atolye86.com/" TargetMode="External"/><Relationship Id="rId91" Type="http://schemas.openxmlformats.org/officeDocument/2006/relationships/hyperlink" Target="https://tr-tr.facebook.com/Antre-maket-mimarl%C4%B1k-m%C3%BChendislik-215386465322784/" TargetMode="External"/><Relationship Id="rId96" Type="http://schemas.openxmlformats.org/officeDocument/2006/relationships/hyperlink" Target="mailto:arte@artemaket.com" TargetMode="External"/><Relationship Id="rId111" Type="http://schemas.openxmlformats.org/officeDocument/2006/relationships/hyperlink" Target="http://www.ermaket.com/" TargetMode="External"/><Relationship Id="rId1" Type="http://schemas.openxmlformats.org/officeDocument/2006/relationships/hyperlink" Target="http://www.maketsehir.com.tr/" TargetMode="External"/><Relationship Id="rId6" Type="http://schemas.openxmlformats.org/officeDocument/2006/relationships/hyperlink" Target="mailto:info@kentmaket.com" TargetMode="External"/><Relationship Id="rId15" Type="http://schemas.openxmlformats.org/officeDocument/2006/relationships/hyperlink" Target="http://makethane.marimeks.com.tr/" TargetMode="External"/><Relationship Id="rId23" Type="http://schemas.openxmlformats.org/officeDocument/2006/relationships/hyperlink" Target="http://www.megaronmaket.com/" TargetMode="External"/><Relationship Id="rId28" Type="http://schemas.openxmlformats.org/officeDocument/2006/relationships/hyperlink" Target="http://www.3dmaketci.com/" TargetMode="External"/><Relationship Id="rId36" Type="http://schemas.openxmlformats.org/officeDocument/2006/relationships/hyperlink" Target="mailto:murat@avcidijital.com" TargetMode="External"/><Relationship Id="rId49" Type="http://schemas.openxmlformats.org/officeDocument/2006/relationships/hyperlink" Target="mailto:info@kucukatolye.com" TargetMode="External"/><Relationship Id="rId57" Type="http://schemas.openxmlformats.org/officeDocument/2006/relationships/hyperlink" Target="mailto:mehmetakifersoy1953@mynet.com" TargetMode="External"/><Relationship Id="rId106" Type="http://schemas.openxmlformats.org/officeDocument/2006/relationships/hyperlink" Target="http://fimaket.com/" TargetMode="External"/><Relationship Id="rId114" Type="http://schemas.openxmlformats.org/officeDocument/2006/relationships/hyperlink" Target="http://www.marmaramaket.com/" TargetMode="External"/><Relationship Id="rId119" Type="http://schemas.openxmlformats.org/officeDocument/2006/relationships/hyperlink" Target="http://integralmaket.com/integral-maket-anasayfa.html" TargetMode="External"/><Relationship Id="rId127" Type="http://schemas.openxmlformats.org/officeDocument/2006/relationships/hyperlink" Target="http://www.maketia.com/" TargetMode="External"/><Relationship Id="rId10" Type="http://schemas.openxmlformats.org/officeDocument/2006/relationships/hyperlink" Target="mailto:modelmaket1@gmail.com" TargetMode="External"/><Relationship Id="rId31" Type="http://schemas.openxmlformats.org/officeDocument/2006/relationships/hyperlink" Target="http://www.maketsan.com.tr/" TargetMode="External"/><Relationship Id="rId44" Type="http://schemas.openxmlformats.org/officeDocument/2006/relationships/hyperlink" Target="mailto:istanbulyapimaket@hotmail.com" TargetMode="External"/><Relationship Id="rId52" Type="http://schemas.openxmlformats.org/officeDocument/2006/relationships/hyperlink" Target="mailto:info@maketgrup.com.tr" TargetMode="External"/><Relationship Id="rId60" Type="http://schemas.openxmlformats.org/officeDocument/2006/relationships/hyperlink" Target="mailto:info@begenilirgrup.com" TargetMode="External"/><Relationship Id="rId65" Type="http://schemas.openxmlformats.org/officeDocument/2006/relationships/hyperlink" Target="mailto:kudat@kudat.com.tr" TargetMode="External"/><Relationship Id="rId73" Type="http://schemas.openxmlformats.org/officeDocument/2006/relationships/hyperlink" Target="http://www.anatoliamaket.com/" TargetMode="External"/><Relationship Id="rId78" Type="http://schemas.openxmlformats.org/officeDocument/2006/relationships/hyperlink" Target="http://www.begenilirgrup.com/" TargetMode="External"/><Relationship Id="rId81" Type="http://schemas.openxmlformats.org/officeDocument/2006/relationships/hyperlink" Target="mailto:info@vektormaket.net&#160;" TargetMode="External"/><Relationship Id="rId86" Type="http://schemas.openxmlformats.org/officeDocument/2006/relationships/hyperlink" Target="http://www.atolyek.com/" TargetMode="External"/><Relationship Id="rId94" Type="http://schemas.openxmlformats.org/officeDocument/2006/relationships/hyperlink" Target="http://www.mimarbey.com/" TargetMode="External"/><Relationship Id="rId99" Type="http://schemas.openxmlformats.org/officeDocument/2006/relationships/hyperlink" Target="mailto:info@maketronik.com" TargetMode="External"/><Relationship Id="rId101" Type="http://schemas.openxmlformats.org/officeDocument/2006/relationships/hyperlink" Target="mailto:integralmaket@gmail.com" TargetMode="External"/><Relationship Id="rId122" Type="http://schemas.openxmlformats.org/officeDocument/2006/relationships/hyperlink" Target="http://www.cizgimaket.com/" TargetMode="External"/><Relationship Id="rId130" Type="http://schemas.openxmlformats.org/officeDocument/2006/relationships/printerSettings" Target="../printerSettings/printerSettings2.bin"/><Relationship Id="rId4" Type="http://schemas.openxmlformats.org/officeDocument/2006/relationships/hyperlink" Target="mailto:%20bilgi@onurmaket.com" TargetMode="External"/><Relationship Id="rId9" Type="http://schemas.openxmlformats.org/officeDocument/2006/relationships/hyperlink" Target="mailto:maketmina@gmail.com" TargetMode="External"/><Relationship Id="rId13" Type="http://schemas.openxmlformats.org/officeDocument/2006/relationships/hyperlink" Target="mailto:info@samemaket.com" TargetMode="External"/><Relationship Id="rId18" Type="http://schemas.openxmlformats.org/officeDocument/2006/relationships/hyperlink" Target="http://www.mimarimaket.com/" TargetMode="External"/><Relationship Id="rId39" Type="http://schemas.openxmlformats.org/officeDocument/2006/relationships/hyperlink" Target="mailto:info@atolye86.com" TargetMode="External"/><Relationship Id="rId109" Type="http://schemas.openxmlformats.org/officeDocument/2006/relationships/hyperlink" Target="mailto:cinarmaket@gmail.com" TargetMode="External"/><Relationship Id="rId34" Type="http://schemas.openxmlformats.org/officeDocument/2006/relationships/hyperlink" Target="http://www.mimarmaket.com/" TargetMode="External"/><Relationship Id="rId50" Type="http://schemas.openxmlformats.org/officeDocument/2006/relationships/hyperlink" Target="mailto:sistem8@gmail.com" TargetMode="External"/><Relationship Id="rId55" Type="http://schemas.openxmlformats.org/officeDocument/2006/relationships/hyperlink" Target="mailto:info@3dmedya.net" TargetMode="External"/><Relationship Id="rId76" Type="http://schemas.openxmlformats.org/officeDocument/2006/relationships/hyperlink" Target="http://atolye96.com/" TargetMode="External"/><Relationship Id="rId97" Type="http://schemas.openxmlformats.org/officeDocument/2006/relationships/hyperlink" Target="http://www.arimimarimaket.net/" TargetMode="External"/><Relationship Id="rId104" Type="http://schemas.openxmlformats.org/officeDocument/2006/relationships/hyperlink" Target="mailto:formmimari@gmail.com" TargetMode="External"/><Relationship Id="rId120" Type="http://schemas.openxmlformats.org/officeDocument/2006/relationships/hyperlink" Target="http://tasarimmaket.com/" TargetMode="External"/><Relationship Id="rId125" Type="http://schemas.openxmlformats.org/officeDocument/2006/relationships/hyperlink" Target="http://vizyonmaket.com/" TargetMode="External"/><Relationship Id="rId7" Type="http://schemas.openxmlformats.org/officeDocument/2006/relationships/hyperlink" Target="mailto:info@mimarimaketizmir.com" TargetMode="External"/><Relationship Id="rId71" Type="http://schemas.openxmlformats.org/officeDocument/2006/relationships/hyperlink" Target="mailto:aybartasarim@gmail.com" TargetMode="External"/><Relationship Id="rId92" Type="http://schemas.openxmlformats.org/officeDocument/2006/relationships/hyperlink" Target="http://www.atolye78.com/" TargetMode="External"/><Relationship Id="rId2" Type="http://schemas.openxmlformats.org/officeDocument/2006/relationships/hyperlink" Target="mailto:maketsehir@maketsehir.com.tr" TargetMode="External"/><Relationship Id="rId29" Type="http://schemas.openxmlformats.org/officeDocument/2006/relationships/hyperlink" Target="http://minamaket.com/" TargetMode="External"/><Relationship Id="rId24" Type="http://schemas.openxmlformats.org/officeDocument/2006/relationships/hyperlink" Target="http://www.bilkamaket.com/" TargetMode="External"/><Relationship Id="rId40" Type="http://schemas.openxmlformats.org/officeDocument/2006/relationships/hyperlink" Target="http://www.mavimaket.com/anasayfa-page-62" TargetMode="External"/><Relationship Id="rId45" Type="http://schemas.openxmlformats.org/officeDocument/2006/relationships/hyperlink" Target="mailto:arimimarimaket@gmail.com" TargetMode="External"/><Relationship Id="rId66" Type="http://schemas.openxmlformats.org/officeDocument/2006/relationships/hyperlink" Target="mailto:burakakoluk@hotmail.com" TargetMode="External"/><Relationship Id="rId87" Type="http://schemas.openxmlformats.org/officeDocument/2006/relationships/hyperlink" Target="mailto:gurolmim@yahoo.com" TargetMode="External"/><Relationship Id="rId110" Type="http://schemas.openxmlformats.org/officeDocument/2006/relationships/hyperlink" Target="tel:+902164964223" TargetMode="External"/><Relationship Id="rId115" Type="http://schemas.openxmlformats.org/officeDocument/2006/relationships/hyperlink" Target="mailto:marmaramaket@gmail.com" TargetMode="External"/><Relationship Id="rId131" Type="http://schemas.openxmlformats.org/officeDocument/2006/relationships/table" Target="../tables/table1.xml"/><Relationship Id="rId61" Type="http://schemas.openxmlformats.org/officeDocument/2006/relationships/hyperlink" Target="mailto:info@atolye250.com" TargetMode="External"/><Relationship Id="rId82" Type="http://schemas.openxmlformats.org/officeDocument/2006/relationships/hyperlink" Target="mailto:deltamaket@gmail.com"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sheetPr codeName="Sayfa1"/>
  <dimension ref="A2:O145"/>
  <sheetViews>
    <sheetView showGridLines="0" tabSelected="1" zoomScale="70" zoomScaleNormal="70" workbookViewId="0">
      <selection activeCell="B26" sqref="B26:L27"/>
    </sheetView>
  </sheetViews>
  <sheetFormatPr defaultRowHeight="14.4"/>
  <cols>
    <col min="1" max="1" width="16.33203125" bestFit="1" customWidth="1"/>
    <col min="2" max="2" width="21" customWidth="1"/>
    <col min="3" max="3" width="31.44140625" customWidth="1"/>
    <col min="4" max="4" width="26.33203125" bestFit="1" customWidth="1"/>
    <col min="5" max="6" width="20.88671875" customWidth="1"/>
    <col min="7" max="7" width="20.44140625" customWidth="1"/>
    <col min="8" max="8" width="21.6640625" bestFit="1" customWidth="1"/>
    <col min="9" max="9" width="21.44140625" bestFit="1" customWidth="1"/>
    <col min="10" max="10" width="21.5546875" customWidth="1"/>
    <col min="11" max="11" width="18.109375" customWidth="1"/>
    <col min="12" max="12" width="20" customWidth="1"/>
    <col min="13" max="13" width="14" customWidth="1"/>
  </cols>
  <sheetData>
    <row r="2" spans="1:13" ht="30" customHeight="1">
      <c r="A2" s="1" t="s">
        <v>41</v>
      </c>
      <c r="B2" s="5" t="s">
        <v>134</v>
      </c>
      <c r="C2" s="4"/>
    </row>
    <row r="4" spans="1:13" ht="15" thickBot="1"/>
    <row r="5" spans="1:13" ht="15.6" thickTop="1" thickBot="1">
      <c r="B5" s="8" t="s">
        <v>36</v>
      </c>
      <c r="C5" s="8" t="s">
        <v>37</v>
      </c>
      <c r="D5" s="8" t="s">
        <v>39</v>
      </c>
      <c r="E5" s="8" t="s">
        <v>38</v>
      </c>
      <c r="F5" s="8" t="s">
        <v>328</v>
      </c>
      <c r="G5" s="8" t="s">
        <v>643</v>
      </c>
      <c r="H5" s="8" t="s">
        <v>40</v>
      </c>
    </row>
    <row r="6" spans="1:13" ht="29.4" thickTop="1">
      <c r="B6" s="6" t="s">
        <v>134</v>
      </c>
      <c r="C6" s="7" t="s">
        <v>369</v>
      </c>
      <c r="D6" s="7" t="s">
        <v>370</v>
      </c>
      <c r="E6" s="64" t="s">
        <v>371</v>
      </c>
      <c r="F6" s="9" t="s">
        <v>372</v>
      </c>
      <c r="G6" s="9" t="s">
        <v>373</v>
      </c>
      <c r="H6" s="9"/>
    </row>
    <row r="7" spans="1:13" ht="15" thickBot="1"/>
    <row r="8" spans="1:13" ht="15.6" thickTop="1" thickBot="1">
      <c r="B8" s="8" t="s">
        <v>3</v>
      </c>
      <c r="C8" s="8" t="s">
        <v>4</v>
      </c>
      <c r="D8" s="8" t="s">
        <v>5</v>
      </c>
      <c r="E8" s="8" t="s">
        <v>6</v>
      </c>
      <c r="F8" s="8" t="s">
        <v>7</v>
      </c>
      <c r="G8" s="8" t="s">
        <v>8</v>
      </c>
      <c r="H8" s="8" t="s">
        <v>9</v>
      </c>
      <c r="I8" s="8" t="s">
        <v>10</v>
      </c>
      <c r="J8" s="8" t="s">
        <v>11</v>
      </c>
      <c r="K8" s="8" t="s">
        <v>12</v>
      </c>
      <c r="L8" s="8" t="s">
        <v>13</v>
      </c>
      <c r="M8" s="8" t="s">
        <v>14</v>
      </c>
    </row>
    <row r="9" spans="1:13" ht="15" thickTop="1">
      <c r="B9" s="3"/>
      <c r="C9" s="3"/>
      <c r="D9" s="3"/>
      <c r="E9" s="3"/>
      <c r="F9" s="3"/>
      <c r="G9" s="3"/>
      <c r="H9" s="3"/>
      <c r="I9" s="3"/>
      <c r="J9" s="2"/>
      <c r="K9" s="3"/>
      <c r="L9" s="3"/>
      <c r="M9" s="3"/>
    </row>
    <row r="10" spans="1:13" ht="15" thickBot="1"/>
    <row r="11" spans="1:13" ht="15.6" thickTop="1" thickBot="1">
      <c r="B11" s="8" t="s">
        <v>25</v>
      </c>
      <c r="C11" s="8" t="s">
        <v>26</v>
      </c>
      <c r="D11" s="8" t="s">
        <v>27</v>
      </c>
      <c r="E11" s="8" t="s">
        <v>28</v>
      </c>
      <c r="F11" s="8" t="s">
        <v>29</v>
      </c>
      <c r="G11" s="8" t="s">
        <v>30</v>
      </c>
      <c r="H11" s="8" t="s">
        <v>31</v>
      </c>
      <c r="I11" s="8" t="s">
        <v>32</v>
      </c>
      <c r="J11" s="8" t="s">
        <v>33</v>
      </c>
      <c r="K11" s="8" t="s">
        <v>185</v>
      </c>
      <c r="L11" s="8" t="s">
        <v>34</v>
      </c>
    </row>
    <row r="12" spans="1:13" ht="15" thickTop="1">
      <c r="B12" s="10"/>
      <c r="C12" s="3"/>
      <c r="D12" s="3"/>
      <c r="E12" s="3"/>
      <c r="F12" s="3"/>
      <c r="G12" s="3"/>
      <c r="H12" s="3"/>
      <c r="I12" s="3"/>
      <c r="J12" s="3"/>
      <c r="K12" s="3"/>
      <c r="L12" s="3"/>
    </row>
    <row r="13" spans="1:13">
      <c r="B13" s="10"/>
      <c r="C13" s="3" t="s">
        <v>676</v>
      </c>
      <c r="D13" s="3"/>
      <c r="E13" s="3"/>
      <c r="F13" s="3"/>
      <c r="G13" s="3"/>
      <c r="H13" s="3"/>
      <c r="I13" s="3"/>
      <c r="J13" s="3"/>
      <c r="K13" s="3"/>
      <c r="L13" s="3"/>
    </row>
    <row r="14" spans="1:13">
      <c r="B14" s="10"/>
      <c r="C14" s="3"/>
      <c r="D14" s="3"/>
      <c r="E14" s="3"/>
      <c r="F14" s="3"/>
      <c r="G14" s="3"/>
      <c r="H14" s="3"/>
      <c r="I14" s="3"/>
      <c r="J14" s="3"/>
      <c r="K14" s="3"/>
      <c r="L14" s="3"/>
    </row>
    <row r="15" spans="1:13">
      <c r="B15" s="10"/>
      <c r="C15" s="3"/>
      <c r="D15" s="3"/>
      <c r="E15" s="3"/>
      <c r="F15" s="3"/>
      <c r="G15" s="3"/>
      <c r="H15" s="3"/>
      <c r="I15" s="3"/>
      <c r="J15" s="3"/>
      <c r="K15" s="3"/>
      <c r="L15" s="3"/>
    </row>
    <row r="16" spans="1:13">
      <c r="B16" s="10"/>
      <c r="C16" s="3"/>
      <c r="D16" s="3"/>
      <c r="E16" s="3"/>
      <c r="F16" s="3"/>
      <c r="G16" s="3"/>
      <c r="H16" s="3"/>
      <c r="I16" s="3"/>
      <c r="J16" s="3"/>
      <c r="K16" s="3"/>
      <c r="L16" s="3"/>
    </row>
    <row r="17" spans="2:12" ht="15" thickBot="1"/>
    <row r="18" spans="2:12" ht="15.6" thickTop="1" thickBot="1">
      <c r="B18" s="8" t="s">
        <v>35</v>
      </c>
      <c r="C18" s="8" t="s">
        <v>26</v>
      </c>
      <c r="D18" s="8" t="s">
        <v>27</v>
      </c>
      <c r="E18" s="8" t="s">
        <v>28</v>
      </c>
      <c r="F18" s="8" t="s">
        <v>29</v>
      </c>
      <c r="G18" s="8" t="s">
        <v>30</v>
      </c>
      <c r="H18" s="8" t="s">
        <v>31</v>
      </c>
      <c r="I18" s="8" t="s">
        <v>32</v>
      </c>
      <c r="J18" s="8" t="s">
        <v>33</v>
      </c>
      <c r="K18" s="8" t="s">
        <v>186</v>
      </c>
      <c r="L18" s="8" t="s">
        <v>34</v>
      </c>
    </row>
    <row r="19" spans="2:12" ht="15" thickTop="1">
      <c r="B19" s="10"/>
      <c r="C19" s="3"/>
      <c r="D19" s="3"/>
      <c r="E19" s="3"/>
      <c r="F19" s="3"/>
      <c r="G19" s="3"/>
      <c r="H19" s="3"/>
      <c r="I19" s="3"/>
      <c r="J19" s="3"/>
      <c r="K19" s="3"/>
      <c r="L19" s="3"/>
    </row>
    <row r="20" spans="2:12">
      <c r="B20" s="10"/>
      <c r="C20" s="3" t="s">
        <v>676</v>
      </c>
      <c r="D20" s="3"/>
      <c r="E20" s="3"/>
      <c r="F20" s="3"/>
      <c r="G20" s="3"/>
      <c r="H20" s="3"/>
      <c r="I20" s="3"/>
      <c r="J20" s="3"/>
      <c r="K20" s="3"/>
      <c r="L20" s="3"/>
    </row>
    <row r="21" spans="2:12">
      <c r="B21" s="10"/>
      <c r="C21" s="3"/>
      <c r="D21" s="3"/>
      <c r="E21" s="3"/>
      <c r="F21" s="3"/>
      <c r="G21" s="3"/>
      <c r="H21" s="3"/>
      <c r="I21" s="3"/>
      <c r="J21" s="3"/>
      <c r="K21" s="3"/>
      <c r="L21" s="3"/>
    </row>
    <row r="22" spans="2:12">
      <c r="B22" s="10"/>
      <c r="C22" s="3"/>
      <c r="D22" s="3"/>
      <c r="E22" s="3"/>
      <c r="F22" s="3"/>
      <c r="G22" s="3"/>
      <c r="H22" s="3"/>
      <c r="I22" s="3"/>
      <c r="J22" s="3"/>
      <c r="K22" s="3"/>
      <c r="L22" s="3"/>
    </row>
    <row r="23" spans="2:12">
      <c r="B23" s="10"/>
      <c r="C23" s="3"/>
      <c r="D23" s="3"/>
      <c r="E23" s="3"/>
      <c r="F23" s="3"/>
      <c r="G23" s="3"/>
      <c r="H23" s="3"/>
      <c r="I23" s="3"/>
      <c r="J23" s="3"/>
      <c r="K23" s="3"/>
      <c r="L23" s="3"/>
    </row>
    <row r="24" spans="2:12" ht="15" thickBot="1"/>
    <row r="25" spans="2:12" ht="15.6" thickTop="1" thickBot="1">
      <c r="B25" s="15" t="s">
        <v>42</v>
      </c>
      <c r="C25" s="96" t="s">
        <v>43</v>
      </c>
      <c r="D25" s="96"/>
      <c r="E25" s="96"/>
      <c r="F25" s="96"/>
      <c r="G25" s="96"/>
      <c r="H25" s="96"/>
      <c r="I25" s="96"/>
      <c r="J25" s="96"/>
      <c r="K25" s="96"/>
      <c r="L25" s="96"/>
    </row>
    <row r="26" spans="2:12" ht="15" thickTop="1">
      <c r="B26" s="16" t="s">
        <v>223</v>
      </c>
      <c r="C26" s="63" t="s">
        <v>231</v>
      </c>
      <c r="D26" s="68"/>
      <c r="E26" s="68"/>
      <c r="F26" s="68"/>
      <c r="G26" s="68"/>
      <c r="H26" s="68"/>
      <c r="I26" s="68"/>
      <c r="J26" s="68"/>
      <c r="K26" s="68"/>
      <c r="L26" s="69"/>
    </row>
    <row r="27" spans="2:12">
      <c r="B27" s="16"/>
      <c r="C27" s="70"/>
      <c r="D27" s="71"/>
      <c r="E27" s="71"/>
      <c r="F27" s="71"/>
      <c r="G27" s="71"/>
      <c r="H27" s="71"/>
      <c r="I27" s="71"/>
      <c r="J27" s="71"/>
      <c r="K27" s="71"/>
      <c r="L27" s="72"/>
    </row>
    <row r="28" spans="2:12">
      <c r="B28" s="16"/>
      <c r="C28" s="70"/>
      <c r="D28" s="71"/>
      <c r="E28" s="71"/>
      <c r="F28" s="71"/>
      <c r="G28" s="71"/>
      <c r="H28" s="71"/>
      <c r="I28" s="71"/>
      <c r="J28" s="71"/>
      <c r="K28" s="71"/>
      <c r="L28" s="72"/>
    </row>
    <row r="29" spans="2:12">
      <c r="B29" s="16"/>
      <c r="C29" s="70"/>
      <c r="D29" s="71"/>
      <c r="E29" s="71"/>
      <c r="F29" s="71"/>
      <c r="G29" s="71"/>
      <c r="H29" s="71"/>
      <c r="I29" s="71"/>
      <c r="J29" s="71"/>
      <c r="K29" s="71"/>
      <c r="L29" s="72"/>
    </row>
    <row r="30" spans="2:12">
      <c r="B30" s="16"/>
      <c r="C30" s="65"/>
      <c r="D30" s="66"/>
      <c r="E30" s="66"/>
      <c r="F30" s="66"/>
      <c r="G30" s="66"/>
      <c r="H30" s="66"/>
      <c r="I30" s="66"/>
      <c r="J30" s="66"/>
      <c r="K30" s="66"/>
      <c r="L30" s="67"/>
    </row>
    <row r="32" spans="2:12" ht="15" thickBot="1"/>
    <row r="33" spans="2:15" ht="15.6" thickTop="1" thickBot="1">
      <c r="B33" s="8" t="s">
        <v>36</v>
      </c>
      <c r="C33" s="8" t="s">
        <v>25</v>
      </c>
      <c r="D33" s="8" t="s">
        <v>26</v>
      </c>
      <c r="E33" s="8" t="s">
        <v>27</v>
      </c>
      <c r="F33" s="8" t="s">
        <v>28</v>
      </c>
      <c r="G33" s="8" t="s">
        <v>29</v>
      </c>
      <c r="H33" s="8" t="s">
        <v>30</v>
      </c>
      <c r="I33" s="8" t="s">
        <v>31</v>
      </c>
      <c r="J33" s="8" t="s">
        <v>32</v>
      </c>
      <c r="K33" s="8" t="s">
        <v>33</v>
      </c>
      <c r="L33" s="8" t="s">
        <v>185</v>
      </c>
      <c r="M33" s="8" t="s">
        <v>34</v>
      </c>
      <c r="N33" s="97" t="s">
        <v>44</v>
      </c>
      <c r="O33" s="97"/>
    </row>
    <row r="34" spans="2:15" ht="15" thickTop="1">
      <c r="B34" s="12" t="str">
        <f>B6</f>
        <v>Urfa Maket</v>
      </c>
      <c r="C34" s="11"/>
      <c r="D34" s="12"/>
      <c r="E34" s="12"/>
      <c r="F34" s="12"/>
      <c r="G34" s="12"/>
      <c r="H34" s="12"/>
      <c r="I34" s="12"/>
      <c r="J34" s="12"/>
      <c r="K34" s="12"/>
      <c r="L34" s="12"/>
      <c r="M34" s="12"/>
      <c r="N34" s="97"/>
      <c r="O34" s="97"/>
    </row>
    <row r="36" spans="2:15" ht="15" thickBot="1"/>
    <row r="37" spans="2:15" ht="15.6" thickTop="1" thickBot="1">
      <c r="B37" s="8" t="s">
        <v>36</v>
      </c>
      <c r="C37" s="8" t="s">
        <v>35</v>
      </c>
      <c r="D37" s="8" t="s">
        <v>26</v>
      </c>
      <c r="E37" s="8" t="s">
        <v>27</v>
      </c>
      <c r="F37" s="8" t="s">
        <v>28</v>
      </c>
      <c r="G37" s="8" t="s">
        <v>29</v>
      </c>
      <c r="H37" s="8" t="s">
        <v>30</v>
      </c>
      <c r="I37" s="8" t="s">
        <v>31</v>
      </c>
      <c r="J37" s="8" t="s">
        <v>32</v>
      </c>
      <c r="K37" s="8" t="s">
        <v>33</v>
      </c>
      <c r="L37" s="8" t="s">
        <v>186</v>
      </c>
      <c r="M37" s="8" t="s">
        <v>34</v>
      </c>
      <c r="N37" s="97" t="s">
        <v>44</v>
      </c>
      <c r="O37" s="97"/>
    </row>
    <row r="38" spans="2:15" ht="15" thickTop="1">
      <c r="B38" s="12" t="str">
        <f>B6</f>
        <v>Urfa Maket</v>
      </c>
      <c r="C38" s="11"/>
      <c r="D38" s="12"/>
      <c r="E38" s="12"/>
      <c r="F38" s="12"/>
      <c r="G38" s="12"/>
      <c r="H38" s="12"/>
      <c r="I38" s="12"/>
      <c r="J38" s="12"/>
      <c r="K38" s="12"/>
      <c r="L38" s="12"/>
      <c r="M38" s="12"/>
      <c r="N38" s="97"/>
      <c r="O38" s="97"/>
    </row>
    <row r="40" spans="2:15" ht="15" thickBot="1"/>
    <row r="41" spans="2:15" ht="15.6" thickTop="1" thickBot="1">
      <c r="B41" s="8" t="s">
        <v>36</v>
      </c>
      <c r="C41" s="8" t="s">
        <v>42</v>
      </c>
      <c r="D41" s="19" t="s">
        <v>43</v>
      </c>
      <c r="E41" s="97" t="s">
        <v>44</v>
      </c>
      <c r="F41" s="97"/>
    </row>
    <row r="42" spans="2:15" ht="15" thickTop="1">
      <c r="B42" s="12" t="str">
        <f>B6</f>
        <v>Urfa Maket</v>
      </c>
      <c r="C42" s="11"/>
      <c r="D42" s="12"/>
      <c r="E42" s="97"/>
      <c r="F42" s="97"/>
    </row>
    <row r="66" spans="2:2">
      <c r="B66" t="str">
        <f>Musteri!A2</f>
        <v>3D Maketçi</v>
      </c>
    </row>
    <row r="67" spans="2:2">
      <c r="B67" t="str">
        <f>Musteri!A3</f>
        <v>3D Medya</v>
      </c>
    </row>
    <row r="68" spans="2:2">
      <c r="B68" t="str">
        <f>Musteri!A4</f>
        <v>4. Boyut Maket</v>
      </c>
    </row>
    <row r="69" spans="2:2">
      <c r="B69" t="str">
        <f>Musteri!A5</f>
        <v>Anatolia Maket</v>
      </c>
    </row>
    <row r="70" spans="2:2">
      <c r="B70" t="str">
        <f>Musteri!A6</f>
        <v>Antre Maket</v>
      </c>
    </row>
    <row r="71" spans="2:2">
      <c r="B71" t="str">
        <f>Musteri!A7</f>
        <v>ARC Maket Evi</v>
      </c>
    </row>
    <row r="72" spans="2:2">
      <c r="B72" t="str">
        <f>Musteri!A8</f>
        <v>Arı Mimari Maket</v>
      </c>
    </row>
    <row r="73" spans="2:2">
      <c r="B73" t="str">
        <f>Musteri!A9</f>
        <v>Armi Maket</v>
      </c>
    </row>
    <row r="74" spans="2:2">
      <c r="B74" t="str">
        <f>Musteri!A10</f>
        <v>Arte Maket</v>
      </c>
    </row>
    <row r="75" spans="2:2">
      <c r="B75" t="str">
        <f>Musteri!A11</f>
        <v>Ateş Maket</v>
      </c>
    </row>
    <row r="76" spans="2:2">
      <c r="B76" t="str">
        <f>Musteri!A12</f>
        <v>Atölye 250</v>
      </c>
    </row>
    <row r="77" spans="2:2">
      <c r="B77" t="str">
        <f>Musteri!A13</f>
        <v>Atölye 360</v>
      </c>
    </row>
    <row r="78" spans="2:2">
      <c r="B78" t="str">
        <f>Musteri!A14</f>
        <v>Atölye 77</v>
      </c>
    </row>
    <row r="79" spans="2:2">
      <c r="B79" t="str">
        <f>Musteri!A15</f>
        <v>Atölye 78</v>
      </c>
    </row>
    <row r="80" spans="2:2">
      <c r="B80" t="str">
        <f>Musteri!A16</f>
        <v>Atölye 86</v>
      </c>
    </row>
    <row r="81" spans="2:2">
      <c r="B81" t="str">
        <f>Musteri!A17</f>
        <v>Atölye 96</v>
      </c>
    </row>
    <row r="82" spans="2:2">
      <c r="B82" t="str">
        <f>Musteri!A18</f>
        <v>Atölye K</v>
      </c>
    </row>
    <row r="83" spans="2:2">
      <c r="B83" t="str">
        <f>Musteri!A19</f>
        <v>Avcı Maket</v>
      </c>
    </row>
    <row r="84" spans="2:2">
      <c r="B84" t="str">
        <f>Musteri!A20</f>
        <v>Azu Mimarlık Maket</v>
      </c>
    </row>
    <row r="85" spans="2:2">
      <c r="B85" t="str">
        <f>Musteri!A21</f>
        <v>Beğenilir Grup</v>
      </c>
    </row>
    <row r="86" spans="2:2">
      <c r="B86" t="str">
        <f>Musteri!A22</f>
        <v>Beyaz Maket</v>
      </c>
    </row>
    <row r="87" spans="2:2">
      <c r="B87" t="str">
        <f>Musteri!A23</f>
        <v>Bilka Maket</v>
      </c>
    </row>
    <row r="88" spans="2:2">
      <c r="B88" t="str">
        <f>Musteri!A24</f>
        <v>Boyut Maket</v>
      </c>
    </row>
    <row r="89" spans="2:2">
      <c r="B89" t="str">
        <f>Musteri!A25</f>
        <v>Çınar Maket</v>
      </c>
    </row>
    <row r="90" spans="2:2">
      <c r="B90" t="str">
        <f>Musteri!A26</f>
        <v>Çizgi Maket</v>
      </c>
    </row>
    <row r="91" spans="2:2">
      <c r="B91" t="str">
        <f>Musteri!A27</f>
        <v>Delta Maket</v>
      </c>
    </row>
    <row r="92" spans="2:2">
      <c r="B92" t="str">
        <f>Musteri!A28</f>
        <v>Er Maket</v>
      </c>
    </row>
    <row r="93" spans="2:2">
      <c r="B93" t="str">
        <f>Musteri!A29</f>
        <v>Fi maket</v>
      </c>
    </row>
    <row r="94" spans="2:2">
      <c r="B94" t="str">
        <f>Musteri!A30</f>
        <v>Form Mimari Maket</v>
      </c>
    </row>
    <row r="95" spans="2:2">
      <c r="B95" t="str">
        <f>Musteri!A31</f>
        <v>Gürol Mimarlık</v>
      </c>
    </row>
    <row r="96" spans="2:2">
      <c r="B96" t="str">
        <f>Musteri!A32</f>
        <v>İntegral Maket</v>
      </c>
    </row>
    <row r="97" spans="2:2">
      <c r="B97" t="str">
        <f>Musteri!A33</f>
        <v>İstanbul Maket</v>
      </c>
    </row>
    <row r="98" spans="2:2">
      <c r="B98" t="str">
        <f>Musteri!A34</f>
        <v>İstanbul Yapı Maket</v>
      </c>
    </row>
    <row r="99" spans="2:2">
      <c r="B99" t="str">
        <f>Musteri!A35</f>
        <v>Kalyon Model Maket</v>
      </c>
    </row>
    <row r="100" spans="2:2">
      <c r="B100" t="str">
        <f>Musteri!A36</f>
        <v>Kudat Maket</v>
      </c>
    </row>
    <row r="101" spans="2:2">
      <c r="B101" t="str">
        <f>Musteri!A37</f>
        <v>Küçük Atölye</v>
      </c>
    </row>
    <row r="102" spans="2:2">
      <c r="B102" t="str">
        <f>Musteri!A38</f>
        <v>Lina Maket</v>
      </c>
    </row>
    <row r="103" spans="2:2">
      <c r="B103" t="str">
        <f>Musteri!A39</f>
        <v>Maker Maket</v>
      </c>
    </row>
    <row r="104" spans="2:2">
      <c r="B104" t="str">
        <f>Musteri!A40</f>
        <v>Maket Evi</v>
      </c>
    </row>
    <row r="105" spans="2:2">
      <c r="B105" t="str">
        <f>Musteri!A41</f>
        <v>Maket Evi</v>
      </c>
    </row>
    <row r="106" spans="2:2">
      <c r="B106" t="str">
        <f>Musteri!A42</f>
        <v>Maket Grup</v>
      </c>
    </row>
    <row r="107" spans="2:2">
      <c r="B107" t="str">
        <f>Musteri!A43</f>
        <v>Maket Grup</v>
      </c>
    </row>
    <row r="108" spans="2:2">
      <c r="B108" t="str">
        <f>Musteri!A44</f>
        <v>Maket İzmir</v>
      </c>
    </row>
    <row r="109" spans="2:2">
      <c r="B109" t="str">
        <f>Musteri!A45</f>
        <v>Maket Şehir</v>
      </c>
    </row>
    <row r="110" spans="2:2">
      <c r="B110" t="str">
        <f>Musteri!A46</f>
        <v>Makethane</v>
      </c>
    </row>
    <row r="111" spans="2:2">
      <c r="B111" t="str">
        <f>Musteri!A47</f>
        <v>Maketia</v>
      </c>
    </row>
    <row r="112" spans="2:2">
      <c r="B112" t="str">
        <f>Musteri!A48</f>
        <v>Maketland</v>
      </c>
    </row>
    <row r="113" spans="2:2">
      <c r="B113" t="str">
        <f>Musteri!A49</f>
        <v>Maketronik</v>
      </c>
    </row>
    <row r="114" spans="2:2">
      <c r="B114" t="str">
        <f>Musteri!A50</f>
        <v>Maketsan</v>
      </c>
    </row>
    <row r="115" spans="2:2">
      <c r="B115" t="str">
        <f>Musteri!A51</f>
        <v>Manhattan Mimari Maket</v>
      </c>
    </row>
    <row r="116" spans="2:2">
      <c r="B116" t="str">
        <f>Musteri!A52</f>
        <v>Marmara Maket</v>
      </c>
    </row>
    <row r="117" spans="2:2">
      <c r="B117" t="str">
        <f>Musteri!A53</f>
        <v>Mavi Maket</v>
      </c>
    </row>
    <row r="118" spans="2:2">
      <c r="B118" t="str">
        <f>Musteri!A54</f>
        <v>Megaron Maket</v>
      </c>
    </row>
    <row r="119" spans="2:2">
      <c r="B119" t="str">
        <f>Musteri!A55</f>
        <v>Mimar Maket</v>
      </c>
    </row>
    <row r="120" spans="2:2">
      <c r="B120" t="str">
        <f>Musteri!A56</f>
        <v>Mimarbey</v>
      </c>
    </row>
    <row r="121" spans="2:2">
      <c r="B121" t="str">
        <f>Musteri!A57</f>
        <v>Mimari Maket</v>
      </c>
    </row>
    <row r="122" spans="2:2">
      <c r="B122" t="str">
        <f>Musteri!A58</f>
        <v>Mimari Maket İzmir</v>
      </c>
    </row>
    <row r="123" spans="2:2">
      <c r="B123" t="str">
        <f>Musteri!A59</f>
        <v>Mina Maket</v>
      </c>
    </row>
    <row r="124" spans="2:2">
      <c r="B124" t="str">
        <f>Musteri!A60</f>
        <v>Model Maket Atölyesi</v>
      </c>
    </row>
    <row r="125" spans="2:2">
      <c r="B125" t="str">
        <f>Musteri!A61</f>
        <v>Modelart</v>
      </c>
    </row>
    <row r="126" spans="2:2">
      <c r="B126" t="str">
        <f>Musteri!A62</f>
        <v>Mukarnas Maket</v>
      </c>
    </row>
    <row r="127" spans="2:2">
      <c r="B127" t="str">
        <f>Musteri!A63</f>
        <v>Obje Maket</v>
      </c>
    </row>
    <row r="128" spans="2:2">
      <c r="B128" t="str">
        <f>Musteri!A64</f>
        <v>Onur Maket</v>
      </c>
    </row>
    <row r="129" spans="2:2">
      <c r="B129" t="str">
        <f>Musteri!A65</f>
        <v>Patyo Mimari Stüdyo</v>
      </c>
    </row>
    <row r="130" spans="2:2">
      <c r="B130" t="str">
        <f>Musteri!A66</f>
        <v>Perspektif Maket</v>
      </c>
    </row>
    <row r="131" spans="2:2">
      <c r="B131" t="str">
        <f>Musteri!A67</f>
        <v>Pozitif Maket</v>
      </c>
    </row>
    <row r="132" spans="2:2">
      <c r="B132" t="str">
        <f>Musteri!A68</f>
        <v>Proma Yapı</v>
      </c>
    </row>
    <row r="133" spans="2:2">
      <c r="B133" t="str">
        <f>Musteri!A69</f>
        <v>Promak Tasarım</v>
      </c>
    </row>
    <row r="134" spans="2:2">
      <c r="B134" t="str">
        <f>Musteri!A70</f>
        <v>Royal Maket</v>
      </c>
    </row>
    <row r="135" spans="2:2">
      <c r="B135" t="str">
        <f>Musteri!A71</f>
        <v>Same Maket</v>
      </c>
    </row>
    <row r="136" spans="2:2">
      <c r="B136" t="str">
        <f>Musteri!A72</f>
        <v>Sanat Maket</v>
      </c>
    </row>
    <row r="137" spans="2:2">
      <c r="B137" t="str">
        <f>Musteri!A73</f>
        <v>Selvi Maket</v>
      </c>
    </row>
    <row r="138" spans="2:2">
      <c r="B138" t="str">
        <f>Musteri!A74</f>
        <v>Sihirli Maket</v>
      </c>
    </row>
    <row r="139" spans="2:2">
      <c r="B139" t="str">
        <f>Musteri!A75</f>
        <v>Silüet Maket</v>
      </c>
    </row>
    <row r="140" spans="2:2">
      <c r="B140" t="str">
        <f>Musteri!A76</f>
        <v>Sistem Maket</v>
      </c>
    </row>
    <row r="141" spans="2:2">
      <c r="B141" t="str">
        <f>Musteri!A77</f>
        <v>Tasarım Maket</v>
      </c>
    </row>
    <row r="142" spans="2:2">
      <c r="B142" t="str">
        <f>Musteri!A78</f>
        <v>Teknik Maket</v>
      </c>
    </row>
    <row r="143" spans="2:2">
      <c r="B143" t="str">
        <f>Musteri!A79</f>
        <v>Urfa Maket</v>
      </c>
    </row>
    <row r="144" spans="2:2">
      <c r="B144" t="str">
        <f>Musteri!A80</f>
        <v>Vektör Maket</v>
      </c>
    </row>
    <row r="145" spans="2:2">
      <c r="B145" t="str">
        <f>Musteri!A81</f>
        <v>Vizyon Maket</v>
      </c>
    </row>
  </sheetData>
  <dataConsolidate/>
  <mergeCells count="4">
    <mergeCell ref="C25:L25"/>
    <mergeCell ref="N33:O34"/>
    <mergeCell ref="N37:O38"/>
    <mergeCell ref="E41:F42"/>
  </mergeCells>
  <dataValidations count="1">
    <dataValidation type="list" allowBlank="1" showInputMessage="1" showErrorMessage="1" sqref="B2">
      <formula1>$B$66:$B$145</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Sayfa2"/>
  <dimension ref="A1:G82"/>
  <sheetViews>
    <sheetView topLeftCell="A73" workbookViewId="0">
      <selection activeCell="A79" sqref="A79:M79"/>
    </sheetView>
  </sheetViews>
  <sheetFormatPr defaultRowHeight="14.4"/>
  <cols>
    <col min="1" max="1" width="14" bestFit="1" customWidth="1"/>
    <col min="2" max="2" width="35.6640625" customWidth="1"/>
    <col min="3" max="3" width="44.44140625" bestFit="1" customWidth="1"/>
    <col min="4" max="4" width="19" customWidth="1"/>
    <col min="5" max="5" width="26.44140625" customWidth="1"/>
    <col min="6" max="6" width="13.5546875" customWidth="1"/>
    <col min="7" max="7" width="14.33203125" customWidth="1"/>
  </cols>
  <sheetData>
    <row r="1" spans="1:7" ht="15" thickBot="1">
      <c r="A1" s="21" t="s">
        <v>36</v>
      </c>
      <c r="B1" s="21" t="s">
        <v>37</v>
      </c>
      <c r="C1" s="21" t="s">
        <v>39</v>
      </c>
      <c r="D1" s="21" t="s">
        <v>38</v>
      </c>
      <c r="E1" s="21" t="s">
        <v>328</v>
      </c>
      <c r="F1" s="22" t="s">
        <v>329</v>
      </c>
      <c r="G1" s="22" t="s">
        <v>40</v>
      </c>
    </row>
    <row r="2" spans="1:7" ht="25.5" customHeight="1" thickTop="1">
      <c r="A2" s="23" t="s">
        <v>426</v>
      </c>
      <c r="B2" s="24" t="s">
        <v>427</v>
      </c>
      <c r="C2" s="41" t="s">
        <v>428</v>
      </c>
      <c r="D2" s="32" t="s">
        <v>429</v>
      </c>
      <c r="E2" s="46" t="s">
        <v>430</v>
      </c>
      <c r="F2" s="52" t="s">
        <v>431</v>
      </c>
      <c r="G2" s="27"/>
    </row>
    <row r="3" spans="1:7" ht="28.8">
      <c r="A3" s="23" t="s">
        <v>150</v>
      </c>
      <c r="B3" s="24"/>
      <c r="C3" s="31" t="s">
        <v>482</v>
      </c>
      <c r="D3" s="45" t="s">
        <v>483</v>
      </c>
      <c r="E3" s="54" t="s">
        <v>484</v>
      </c>
      <c r="F3" s="34" t="s">
        <v>485</v>
      </c>
      <c r="G3" s="30"/>
    </row>
    <row r="4" spans="1:7">
      <c r="A4" s="23" t="s">
        <v>66</v>
      </c>
      <c r="B4" s="24"/>
      <c r="C4" s="31"/>
      <c r="D4" s="32"/>
      <c r="E4" s="54"/>
      <c r="F4" s="34" t="s">
        <v>1</v>
      </c>
      <c r="G4" s="30" t="s">
        <v>635</v>
      </c>
    </row>
    <row r="5" spans="1:7">
      <c r="A5" s="23" t="s">
        <v>163</v>
      </c>
      <c r="B5" s="24"/>
      <c r="C5" s="31" t="s">
        <v>540</v>
      </c>
      <c r="D5" s="45" t="s">
        <v>541</v>
      </c>
      <c r="E5" s="46" t="s">
        <v>542</v>
      </c>
      <c r="F5" s="34" t="s">
        <v>543</v>
      </c>
      <c r="G5" s="30"/>
    </row>
    <row r="6" spans="1:7" ht="43.2">
      <c r="A6" s="40" t="s">
        <v>495</v>
      </c>
      <c r="B6" s="24"/>
      <c r="C6" s="41" t="s">
        <v>496</v>
      </c>
      <c r="D6" s="32" t="s">
        <v>497</v>
      </c>
      <c r="E6" s="54" t="s">
        <v>498</v>
      </c>
      <c r="F6" s="42" t="s">
        <v>368</v>
      </c>
      <c r="G6" s="30"/>
    </row>
    <row r="7" spans="1:7" ht="28.8">
      <c r="A7" s="40" t="s">
        <v>118</v>
      </c>
      <c r="B7" s="24" t="s">
        <v>478</v>
      </c>
      <c r="C7" s="41" t="s">
        <v>479</v>
      </c>
      <c r="D7" s="32" t="s">
        <v>480</v>
      </c>
      <c r="E7" s="41" t="s">
        <v>481</v>
      </c>
      <c r="F7" s="42" t="s">
        <v>1</v>
      </c>
      <c r="G7" s="30"/>
    </row>
    <row r="8" spans="1:7" ht="28.8">
      <c r="A8" s="23" t="s">
        <v>88</v>
      </c>
      <c r="B8" s="24" t="s">
        <v>567</v>
      </c>
      <c r="C8" s="31" t="s">
        <v>568</v>
      </c>
      <c r="D8" s="32" t="s">
        <v>569</v>
      </c>
      <c r="E8" s="54" t="s">
        <v>570</v>
      </c>
      <c r="F8" s="34" t="s">
        <v>571</v>
      </c>
      <c r="G8" s="30"/>
    </row>
    <row r="9" spans="1:7" ht="28.8">
      <c r="A9" s="23" t="s">
        <v>69</v>
      </c>
      <c r="B9" s="24" t="s">
        <v>632</v>
      </c>
      <c r="C9" s="50" t="s">
        <v>633</v>
      </c>
      <c r="D9" s="45" t="s">
        <v>634</v>
      </c>
      <c r="E9" s="54"/>
      <c r="F9" s="34"/>
      <c r="G9" s="30"/>
    </row>
    <row r="10" spans="1:7" ht="28.8">
      <c r="A10" s="23" t="s">
        <v>111</v>
      </c>
      <c r="B10" s="24" t="s">
        <v>391</v>
      </c>
      <c r="C10" s="31" t="s">
        <v>392</v>
      </c>
      <c r="D10" s="45" t="s">
        <v>393</v>
      </c>
      <c r="E10" s="31" t="s">
        <v>394</v>
      </c>
      <c r="F10" s="34" t="s">
        <v>395</v>
      </c>
      <c r="G10" s="30"/>
    </row>
    <row r="11" spans="1:7" ht="43.2">
      <c r="A11" s="23" t="s">
        <v>83</v>
      </c>
      <c r="B11" s="24" t="s">
        <v>591</v>
      </c>
      <c r="C11" s="31" t="s">
        <v>592</v>
      </c>
      <c r="D11" s="52" t="s">
        <v>593</v>
      </c>
      <c r="E11" s="46" t="s">
        <v>594</v>
      </c>
      <c r="F11" s="34" t="s">
        <v>1</v>
      </c>
      <c r="G11" s="30"/>
    </row>
    <row r="12" spans="1:7" ht="28.8">
      <c r="A12" s="40" t="s">
        <v>155</v>
      </c>
      <c r="B12" s="24" t="s">
        <v>507</v>
      </c>
      <c r="C12" s="41" t="s">
        <v>508</v>
      </c>
      <c r="D12" s="32" t="s">
        <v>509</v>
      </c>
      <c r="E12" s="54" t="s">
        <v>510</v>
      </c>
      <c r="F12" s="42" t="s">
        <v>386</v>
      </c>
      <c r="G12" s="30"/>
    </row>
    <row r="13" spans="1:7" ht="28.8">
      <c r="A13" s="23" t="s">
        <v>161</v>
      </c>
      <c r="B13" s="24" t="s">
        <v>532</v>
      </c>
      <c r="C13" s="31" t="s">
        <v>533</v>
      </c>
      <c r="D13" s="45" t="s">
        <v>534</v>
      </c>
      <c r="E13" s="46" t="s">
        <v>535</v>
      </c>
      <c r="F13" s="34" t="s">
        <v>466</v>
      </c>
      <c r="G13" s="30"/>
    </row>
    <row r="14" spans="1:7" ht="43.2">
      <c r="A14" s="23" t="s">
        <v>45</v>
      </c>
      <c r="B14" s="24" t="s">
        <v>572</v>
      </c>
      <c r="C14" s="49" t="s">
        <v>573</v>
      </c>
      <c r="D14" s="45" t="s">
        <v>574</v>
      </c>
      <c r="E14" s="31" t="s">
        <v>575</v>
      </c>
      <c r="F14" s="34" t="s">
        <v>1</v>
      </c>
      <c r="G14" s="30"/>
    </row>
    <row r="15" spans="1:7" ht="57.6">
      <c r="A15" s="23" t="s">
        <v>157</v>
      </c>
      <c r="B15" s="24" t="s">
        <v>515</v>
      </c>
      <c r="C15" s="31" t="s">
        <v>516</v>
      </c>
      <c r="D15" s="32" t="s">
        <v>517</v>
      </c>
      <c r="E15" s="41" t="s">
        <v>518</v>
      </c>
      <c r="F15" s="34" t="s">
        <v>519</v>
      </c>
      <c r="G15" s="30"/>
    </row>
    <row r="16" spans="1:7" ht="28.8">
      <c r="A16" s="23" t="s">
        <v>149</v>
      </c>
      <c r="B16" s="24"/>
      <c r="C16" s="31" t="s">
        <v>474</v>
      </c>
      <c r="D16" s="32" t="s">
        <v>475</v>
      </c>
      <c r="E16" s="31" t="s">
        <v>476</v>
      </c>
      <c r="F16" s="34" t="s">
        <v>477</v>
      </c>
      <c r="G16" s="30"/>
    </row>
    <row r="17" spans="1:7">
      <c r="A17" s="23" t="s">
        <v>156</v>
      </c>
      <c r="B17" s="24" t="s">
        <v>511</v>
      </c>
      <c r="C17" s="31" t="s">
        <v>512</v>
      </c>
      <c r="D17" s="45" t="s">
        <v>513</v>
      </c>
      <c r="E17" s="54" t="s">
        <v>514</v>
      </c>
      <c r="F17" s="34" t="s">
        <v>395</v>
      </c>
      <c r="G17" s="30"/>
    </row>
    <row r="18" spans="1:7">
      <c r="A18" s="23" t="s">
        <v>467</v>
      </c>
      <c r="B18" s="24"/>
      <c r="C18" s="31" t="s">
        <v>468</v>
      </c>
      <c r="D18" s="32" t="s">
        <v>469</v>
      </c>
      <c r="E18" s="46" t="s">
        <v>470</v>
      </c>
      <c r="F18" s="34" t="s">
        <v>1</v>
      </c>
      <c r="G18" s="30"/>
    </row>
    <row r="19" spans="1:7" ht="28.8">
      <c r="A19" s="23" t="s">
        <v>145</v>
      </c>
      <c r="B19" s="24"/>
      <c r="C19" s="49" t="s">
        <v>455</v>
      </c>
      <c r="D19" s="32" t="s">
        <v>456</v>
      </c>
      <c r="E19" s="47" t="s">
        <v>457</v>
      </c>
      <c r="F19" s="34" t="s">
        <v>395</v>
      </c>
      <c r="G19" s="30"/>
    </row>
    <row r="20" spans="1:7">
      <c r="A20" s="23" t="s">
        <v>168</v>
      </c>
      <c r="B20" s="24"/>
      <c r="C20" s="31" t="s">
        <v>553</v>
      </c>
      <c r="D20" s="32" t="s">
        <v>554</v>
      </c>
      <c r="E20" s="46"/>
      <c r="F20" s="34" t="s">
        <v>368</v>
      </c>
      <c r="G20" s="30"/>
    </row>
    <row r="21" spans="1:7" ht="28.8">
      <c r="A21" s="23" t="s">
        <v>154</v>
      </c>
      <c r="B21" s="24" t="s">
        <v>503</v>
      </c>
      <c r="C21" s="31" t="s">
        <v>504</v>
      </c>
      <c r="D21" s="32" t="s">
        <v>505</v>
      </c>
      <c r="E21" s="46" t="s">
        <v>506</v>
      </c>
      <c r="F21" s="34" t="s">
        <v>386</v>
      </c>
      <c r="G21" s="30"/>
    </row>
    <row r="22" spans="1:7" ht="28.8">
      <c r="A22" s="23" t="s">
        <v>162</v>
      </c>
      <c r="B22" s="24" t="s">
        <v>536</v>
      </c>
      <c r="C22" s="31" t="s">
        <v>537</v>
      </c>
      <c r="D22" s="32" t="s">
        <v>538</v>
      </c>
      <c r="E22" s="46" t="s">
        <v>539</v>
      </c>
      <c r="F22" s="34" t="s">
        <v>466</v>
      </c>
      <c r="G22" s="30"/>
    </row>
    <row r="23" spans="1:7" ht="28.8">
      <c r="A23" s="23" t="s">
        <v>138</v>
      </c>
      <c r="B23" s="24"/>
      <c r="C23" s="31" t="s">
        <v>399</v>
      </c>
      <c r="D23" s="32" t="s">
        <v>400</v>
      </c>
      <c r="E23" s="31" t="s">
        <v>401</v>
      </c>
      <c r="F23" s="34" t="s">
        <v>402</v>
      </c>
      <c r="G23" s="30"/>
    </row>
    <row r="24" spans="1:7" ht="28.8">
      <c r="A24" s="23" t="s">
        <v>187</v>
      </c>
      <c r="B24" s="24"/>
      <c r="C24" s="55"/>
      <c r="D24" s="57"/>
      <c r="E24" s="58"/>
      <c r="F24" s="29" t="s">
        <v>395</v>
      </c>
      <c r="G24" s="30" t="s">
        <v>642</v>
      </c>
    </row>
    <row r="25" spans="1:7" ht="28.8">
      <c r="A25" s="23" t="s">
        <v>144</v>
      </c>
      <c r="B25" s="24" t="s">
        <v>451</v>
      </c>
      <c r="C25" s="31" t="s">
        <v>452</v>
      </c>
      <c r="D25" s="45" t="s">
        <v>453</v>
      </c>
      <c r="E25" s="41" t="s">
        <v>454</v>
      </c>
      <c r="F25" s="34" t="s">
        <v>1</v>
      </c>
      <c r="G25" s="30"/>
    </row>
    <row r="26" spans="1:7" ht="28.8">
      <c r="A26" s="23" t="s">
        <v>172</v>
      </c>
      <c r="B26" s="24" t="s">
        <v>576</v>
      </c>
      <c r="C26" s="49" t="s">
        <v>577</v>
      </c>
      <c r="D26" s="32" t="s">
        <v>578</v>
      </c>
      <c r="E26" s="31" t="s">
        <v>579</v>
      </c>
      <c r="F26" s="34" t="s">
        <v>395</v>
      </c>
      <c r="G26" s="30"/>
    </row>
    <row r="27" spans="1:7" ht="43.2">
      <c r="A27" s="40" t="s">
        <v>137</v>
      </c>
      <c r="B27" s="24" t="s">
        <v>387</v>
      </c>
      <c r="C27" s="41" t="s">
        <v>388</v>
      </c>
      <c r="D27" s="32" t="s">
        <v>389</v>
      </c>
      <c r="E27" s="54" t="s">
        <v>390</v>
      </c>
      <c r="F27" s="42" t="s">
        <v>1</v>
      </c>
      <c r="G27" s="30"/>
    </row>
    <row r="28" spans="1:7" ht="28.8">
      <c r="A28" s="40" t="s">
        <v>636</v>
      </c>
      <c r="B28" s="24" t="s">
        <v>637</v>
      </c>
      <c r="C28" s="33" t="s">
        <v>638</v>
      </c>
      <c r="D28" s="32" t="s">
        <v>639</v>
      </c>
      <c r="E28" s="54"/>
      <c r="F28" s="42" t="s">
        <v>640</v>
      </c>
      <c r="G28" s="30" t="s">
        <v>641</v>
      </c>
    </row>
    <row r="29" spans="1:7" ht="43.2">
      <c r="A29" s="35" t="s">
        <v>353</v>
      </c>
      <c r="B29" s="24" t="s">
        <v>354</v>
      </c>
      <c r="C29" s="36" t="s">
        <v>355</v>
      </c>
      <c r="D29" s="43" t="s">
        <v>356</v>
      </c>
      <c r="E29" s="38" t="s">
        <v>357</v>
      </c>
      <c r="F29" s="39" t="s">
        <v>358</v>
      </c>
      <c r="G29" s="30"/>
    </row>
    <row r="30" spans="1:7">
      <c r="A30" s="23" t="s">
        <v>548</v>
      </c>
      <c r="B30" s="24"/>
      <c r="C30" s="31"/>
      <c r="D30" s="32" t="s">
        <v>549</v>
      </c>
      <c r="E30" s="54" t="s">
        <v>550</v>
      </c>
      <c r="F30" s="34" t="s">
        <v>395</v>
      </c>
      <c r="G30" s="30"/>
    </row>
    <row r="31" spans="1:7">
      <c r="A31" s="23" t="s">
        <v>471</v>
      </c>
      <c r="B31" s="24"/>
      <c r="C31" s="31"/>
      <c r="D31" s="32" t="s">
        <v>472</v>
      </c>
      <c r="E31" s="46" t="s">
        <v>473</v>
      </c>
      <c r="F31" s="34" t="s">
        <v>395</v>
      </c>
      <c r="G31" s="30"/>
    </row>
    <row r="32" spans="1:7" ht="28.8">
      <c r="A32" s="23" t="s">
        <v>164</v>
      </c>
      <c r="B32" s="24"/>
      <c r="C32" s="49" t="s">
        <v>544</v>
      </c>
      <c r="D32" s="45" t="s">
        <v>545</v>
      </c>
      <c r="E32" s="46" t="s">
        <v>546</v>
      </c>
      <c r="F32" s="34" t="s">
        <v>1</v>
      </c>
      <c r="G32" s="30"/>
    </row>
    <row r="33" spans="1:7">
      <c r="A33" s="23" t="s">
        <v>93</v>
      </c>
      <c r="B33" s="24"/>
      <c r="C33" s="50"/>
      <c r="D33" s="45"/>
      <c r="E33" s="46"/>
      <c r="F33" s="34" t="s">
        <v>1</v>
      </c>
      <c r="G33" s="30" t="s">
        <v>610</v>
      </c>
    </row>
    <row r="34" spans="1:7">
      <c r="A34" s="35" t="s">
        <v>171</v>
      </c>
      <c r="B34" s="24"/>
      <c r="C34" s="36" t="s">
        <v>564</v>
      </c>
      <c r="D34" s="43" t="s">
        <v>565</v>
      </c>
      <c r="E34" s="44" t="s">
        <v>566</v>
      </c>
      <c r="F34" s="48" t="s">
        <v>1</v>
      </c>
      <c r="G34" s="30"/>
    </row>
    <row r="35" spans="1:7" ht="28.8">
      <c r="A35" s="23" t="s">
        <v>615</v>
      </c>
      <c r="B35" s="24"/>
      <c r="C35" s="50"/>
      <c r="D35" s="32" t="s">
        <v>616</v>
      </c>
      <c r="E35" s="54" t="s">
        <v>617</v>
      </c>
      <c r="F35" s="34" t="s">
        <v>1</v>
      </c>
      <c r="G35" s="30" t="s">
        <v>618</v>
      </c>
    </row>
    <row r="36" spans="1:7" ht="28.8">
      <c r="A36" s="23" t="s">
        <v>160</v>
      </c>
      <c r="B36" s="24" t="s">
        <v>528</v>
      </c>
      <c r="C36" s="31" t="s">
        <v>529</v>
      </c>
      <c r="D36" s="32" t="s">
        <v>530</v>
      </c>
      <c r="E36" s="31" t="s">
        <v>531</v>
      </c>
      <c r="F36" s="34" t="s">
        <v>373</v>
      </c>
      <c r="G36" s="30"/>
    </row>
    <row r="37" spans="1:7" ht="28.8">
      <c r="A37" s="23" t="s">
        <v>55</v>
      </c>
      <c r="B37" s="24" t="s">
        <v>583</v>
      </c>
      <c r="C37" s="31" t="s">
        <v>584</v>
      </c>
      <c r="D37" s="32" t="s">
        <v>585</v>
      </c>
      <c r="E37" s="41" t="s">
        <v>586</v>
      </c>
      <c r="F37" s="34" t="s">
        <v>1</v>
      </c>
      <c r="G37" s="30"/>
    </row>
    <row r="38" spans="1:7" ht="43.2">
      <c r="A38" s="51" t="s">
        <v>147</v>
      </c>
      <c r="B38" s="24" t="s">
        <v>462</v>
      </c>
      <c r="C38" s="31" t="s">
        <v>463</v>
      </c>
      <c r="D38" s="32" t="s">
        <v>464</v>
      </c>
      <c r="E38" s="54" t="s">
        <v>465</v>
      </c>
      <c r="F38" s="34" t="s">
        <v>466</v>
      </c>
      <c r="G38" s="30"/>
    </row>
    <row r="39" spans="1:7" ht="57.6">
      <c r="A39" s="23" t="s">
        <v>152</v>
      </c>
      <c r="B39" s="24" t="s">
        <v>491</v>
      </c>
      <c r="C39" s="31" t="s">
        <v>492</v>
      </c>
      <c r="D39" s="45" t="s">
        <v>493</v>
      </c>
      <c r="E39" s="31" t="s">
        <v>494</v>
      </c>
      <c r="F39" s="34" t="s">
        <v>490</v>
      </c>
      <c r="G39" s="30"/>
    </row>
    <row r="40" spans="1:7" ht="28.8">
      <c r="A40" s="23" t="s">
        <v>555</v>
      </c>
      <c r="B40" s="24" t="s">
        <v>556</v>
      </c>
      <c r="C40" s="31" t="s">
        <v>557</v>
      </c>
      <c r="D40" s="32" t="s">
        <v>558</v>
      </c>
      <c r="E40" s="54" t="s">
        <v>559</v>
      </c>
      <c r="F40" s="34" t="s">
        <v>1</v>
      </c>
      <c r="G40" s="30"/>
    </row>
    <row r="41" spans="1:7" ht="28.8">
      <c r="A41" s="23" t="s">
        <v>555</v>
      </c>
      <c r="B41" s="24" t="s">
        <v>556</v>
      </c>
      <c r="C41" s="49" t="s">
        <v>624</v>
      </c>
      <c r="D41" s="45" t="s">
        <v>625</v>
      </c>
      <c r="E41" s="46"/>
      <c r="F41" s="34" t="s">
        <v>1</v>
      </c>
      <c r="G41" s="30"/>
    </row>
    <row r="42" spans="1:7" ht="57.6">
      <c r="A42" s="23" t="s">
        <v>174</v>
      </c>
      <c r="B42" s="24" t="s">
        <v>595</v>
      </c>
      <c r="C42" s="49" t="s">
        <v>596</v>
      </c>
      <c r="D42" s="45" t="s">
        <v>597</v>
      </c>
      <c r="E42" s="46" t="s">
        <v>598</v>
      </c>
      <c r="F42" s="34" t="s">
        <v>1</v>
      </c>
      <c r="G42" s="30"/>
    </row>
    <row r="43" spans="1:7" ht="28.8">
      <c r="A43" s="23" t="s">
        <v>174</v>
      </c>
      <c r="B43" s="24"/>
      <c r="C43" s="31" t="s">
        <v>630</v>
      </c>
      <c r="D43" s="45" t="s">
        <v>597</v>
      </c>
      <c r="E43" s="46"/>
      <c r="F43" s="34" t="s">
        <v>1</v>
      </c>
      <c r="G43" s="30" t="s">
        <v>631</v>
      </c>
    </row>
    <row r="44" spans="1:7" ht="28.8">
      <c r="A44" s="35" t="s">
        <v>403</v>
      </c>
      <c r="B44" s="24" t="s">
        <v>404</v>
      </c>
      <c r="C44" s="36" t="s">
        <v>405</v>
      </c>
      <c r="D44" s="43" t="s">
        <v>406</v>
      </c>
      <c r="E44" s="44" t="s">
        <v>407</v>
      </c>
      <c r="F44" s="53" t="s">
        <v>368</v>
      </c>
      <c r="G44" s="30"/>
    </row>
    <row r="45" spans="1:7" ht="57.6">
      <c r="A45" s="23" t="s">
        <v>125</v>
      </c>
      <c r="B45" s="24" t="s">
        <v>330</v>
      </c>
      <c r="C45" s="25" t="s">
        <v>331</v>
      </c>
      <c r="D45" s="56" t="s">
        <v>332</v>
      </c>
      <c r="E45" s="25" t="s">
        <v>333</v>
      </c>
      <c r="F45" s="26" t="s">
        <v>334</v>
      </c>
      <c r="G45" s="30"/>
    </row>
    <row r="46" spans="1:7" ht="28.8">
      <c r="A46" s="35" t="s">
        <v>343</v>
      </c>
      <c r="B46" s="24" t="s">
        <v>344</v>
      </c>
      <c r="C46" s="36" t="s">
        <v>345</v>
      </c>
      <c r="D46" s="37" t="s">
        <v>346</v>
      </c>
      <c r="E46" s="38" t="s">
        <v>347</v>
      </c>
      <c r="F46" s="39" t="s">
        <v>1</v>
      </c>
      <c r="G46" s="30"/>
    </row>
    <row r="47" spans="1:7" ht="28.8">
      <c r="A47" s="23" t="s">
        <v>169</v>
      </c>
      <c r="B47" s="24"/>
      <c r="C47" s="49" t="s">
        <v>622</v>
      </c>
      <c r="D47" s="45" t="s">
        <v>623</v>
      </c>
      <c r="E47" s="54"/>
      <c r="F47" s="34" t="s">
        <v>1</v>
      </c>
      <c r="G47" s="30"/>
    </row>
    <row r="48" spans="1:7">
      <c r="A48" s="23" t="s">
        <v>62</v>
      </c>
      <c r="B48" s="24"/>
      <c r="C48" s="31"/>
      <c r="D48" s="45" t="s">
        <v>607</v>
      </c>
      <c r="E48" s="46" t="s">
        <v>608</v>
      </c>
      <c r="F48" s="34" t="s">
        <v>1</v>
      </c>
      <c r="G48" s="30" t="s">
        <v>609</v>
      </c>
    </row>
    <row r="49" spans="1:7" ht="43.2">
      <c r="A49" s="23" t="s">
        <v>359</v>
      </c>
      <c r="B49" s="24" t="s">
        <v>360</v>
      </c>
      <c r="C49" s="31" t="s">
        <v>361</v>
      </c>
      <c r="D49" s="45" t="s">
        <v>362</v>
      </c>
      <c r="E49" s="31" t="s">
        <v>363</v>
      </c>
      <c r="F49" s="34" t="s">
        <v>1</v>
      </c>
      <c r="G49" s="30"/>
    </row>
    <row r="50" spans="1:7" ht="28.8">
      <c r="A50" s="35" t="s">
        <v>441</v>
      </c>
      <c r="B50" s="24" t="s">
        <v>442</v>
      </c>
      <c r="C50" s="36" t="s">
        <v>443</v>
      </c>
      <c r="D50" s="37" t="s">
        <v>444</v>
      </c>
      <c r="E50" s="38" t="s">
        <v>445</v>
      </c>
      <c r="F50" s="48" t="s">
        <v>1</v>
      </c>
      <c r="G50" s="30"/>
    </row>
    <row r="51" spans="1:7" ht="28.8">
      <c r="A51" s="51" t="s">
        <v>142</v>
      </c>
      <c r="B51" s="26" t="s">
        <v>422</v>
      </c>
      <c r="C51" s="31" t="s">
        <v>423</v>
      </c>
      <c r="D51" s="45" t="s">
        <v>424</v>
      </c>
      <c r="E51" s="46" t="s">
        <v>425</v>
      </c>
      <c r="F51" s="34" t="s">
        <v>368</v>
      </c>
      <c r="G51" s="30"/>
    </row>
    <row r="52" spans="1:7" ht="28.8">
      <c r="A52" s="40" t="s">
        <v>46</v>
      </c>
      <c r="B52" s="24"/>
      <c r="C52" s="33" t="s">
        <v>626</v>
      </c>
      <c r="D52" s="32" t="s">
        <v>627</v>
      </c>
      <c r="E52" s="54" t="s">
        <v>628</v>
      </c>
      <c r="F52" s="42" t="s">
        <v>1</v>
      </c>
      <c r="G52" s="30" t="s">
        <v>629</v>
      </c>
    </row>
    <row r="53" spans="1:7" ht="28.8">
      <c r="A53" s="23" t="s">
        <v>146</v>
      </c>
      <c r="B53" s="24" t="s">
        <v>458</v>
      </c>
      <c r="C53" s="31" t="s">
        <v>459</v>
      </c>
      <c r="D53" s="45" t="s">
        <v>460</v>
      </c>
      <c r="E53" s="31" t="s">
        <v>461</v>
      </c>
      <c r="F53" s="34" t="s">
        <v>395</v>
      </c>
      <c r="G53" s="30"/>
    </row>
    <row r="54" spans="1:7" ht="43.2">
      <c r="A54" s="23" t="s">
        <v>100</v>
      </c>
      <c r="B54" s="24"/>
      <c r="C54" s="31" t="s">
        <v>396</v>
      </c>
      <c r="D54" s="45" t="s">
        <v>397</v>
      </c>
      <c r="E54" s="47" t="s">
        <v>398</v>
      </c>
      <c r="F54" s="34" t="s">
        <v>395</v>
      </c>
      <c r="G54" s="30"/>
    </row>
    <row r="55" spans="1:7" ht="28.8">
      <c r="A55" s="23" t="s">
        <v>227</v>
      </c>
      <c r="B55" s="24" t="s">
        <v>364</v>
      </c>
      <c r="C55" s="31" t="s">
        <v>365</v>
      </c>
      <c r="D55" s="45" t="s">
        <v>366</v>
      </c>
      <c r="E55" s="50" t="s">
        <v>367</v>
      </c>
      <c r="F55" s="34" t="s">
        <v>368</v>
      </c>
      <c r="G55" s="30"/>
    </row>
    <row r="56" spans="1:7" ht="43.2">
      <c r="A56" s="23" t="s">
        <v>159</v>
      </c>
      <c r="B56" s="24" t="s">
        <v>524</v>
      </c>
      <c r="C56" s="31" t="s">
        <v>525</v>
      </c>
      <c r="D56" s="32" t="s">
        <v>526</v>
      </c>
      <c r="E56" s="46" t="s">
        <v>527</v>
      </c>
      <c r="F56" s="34" t="s">
        <v>402</v>
      </c>
      <c r="G56" s="30"/>
    </row>
    <row r="57" spans="1:7" ht="43.2">
      <c r="A57" s="23" t="s">
        <v>132</v>
      </c>
      <c r="B57" s="24" t="s">
        <v>374</v>
      </c>
      <c r="C57" s="31" t="s">
        <v>375</v>
      </c>
      <c r="D57" s="32" t="s">
        <v>376</v>
      </c>
      <c r="E57" s="46" t="s">
        <v>377</v>
      </c>
      <c r="F57" s="34" t="s">
        <v>1</v>
      </c>
      <c r="G57" s="30"/>
    </row>
    <row r="58" spans="1:7" ht="28.8">
      <c r="A58" s="23" t="s">
        <v>408</v>
      </c>
      <c r="B58" s="24"/>
      <c r="C58" s="49" t="s">
        <v>409</v>
      </c>
      <c r="D58" s="45" t="s">
        <v>410</v>
      </c>
      <c r="E58" s="46" t="s">
        <v>411</v>
      </c>
      <c r="F58" s="34" t="s">
        <v>368</v>
      </c>
      <c r="G58" s="30"/>
    </row>
    <row r="59" spans="1:7" ht="43.2">
      <c r="A59" s="40" t="s">
        <v>143</v>
      </c>
      <c r="B59" s="24" t="s">
        <v>432</v>
      </c>
      <c r="C59" s="41" t="s">
        <v>433</v>
      </c>
      <c r="D59" s="32" t="s">
        <v>434</v>
      </c>
      <c r="E59" s="33" t="s">
        <v>435</v>
      </c>
      <c r="F59" s="42" t="s">
        <v>1</v>
      </c>
      <c r="G59" s="30"/>
    </row>
    <row r="60" spans="1:7" ht="43.2">
      <c r="A60" s="23" t="s">
        <v>436</v>
      </c>
      <c r="B60" s="24" t="s">
        <v>437</v>
      </c>
      <c r="C60" s="31" t="s">
        <v>438</v>
      </c>
      <c r="D60" s="32" t="s">
        <v>439</v>
      </c>
      <c r="E60" s="41" t="s">
        <v>440</v>
      </c>
      <c r="F60" s="34" t="s">
        <v>395</v>
      </c>
      <c r="G60" s="30"/>
    </row>
    <row r="61" spans="1:7" ht="43.2">
      <c r="A61" s="23" t="s">
        <v>348</v>
      </c>
      <c r="B61" s="24" t="s">
        <v>349</v>
      </c>
      <c r="C61" s="31" t="s">
        <v>350</v>
      </c>
      <c r="D61" s="32" t="s">
        <v>351</v>
      </c>
      <c r="E61" s="41" t="s">
        <v>352</v>
      </c>
      <c r="F61" s="34" t="s">
        <v>1</v>
      </c>
      <c r="G61" s="30"/>
    </row>
    <row r="62" spans="1:7" ht="28.8">
      <c r="A62" s="23" t="s">
        <v>167</v>
      </c>
      <c r="B62" s="24"/>
      <c r="C62" s="31" t="s">
        <v>551</v>
      </c>
      <c r="D62" s="32" t="s">
        <v>552</v>
      </c>
      <c r="E62" s="46"/>
      <c r="F62" s="34" t="s">
        <v>395</v>
      </c>
      <c r="G62" s="30"/>
    </row>
    <row r="63" spans="1:7" ht="57.6">
      <c r="A63" s="40" t="s">
        <v>153</v>
      </c>
      <c r="B63" s="24" t="s">
        <v>499</v>
      </c>
      <c r="C63" s="41" t="s">
        <v>500</v>
      </c>
      <c r="D63" s="32" t="s">
        <v>501</v>
      </c>
      <c r="E63" s="41" t="s">
        <v>502</v>
      </c>
      <c r="F63" s="42" t="s">
        <v>386</v>
      </c>
      <c r="G63" s="30"/>
    </row>
    <row r="64" spans="1:7" ht="28.8">
      <c r="A64" s="23" t="s">
        <v>133</v>
      </c>
      <c r="B64" s="24" t="s">
        <v>338</v>
      </c>
      <c r="C64" s="31" t="s">
        <v>339</v>
      </c>
      <c r="D64" s="32" t="s">
        <v>340</v>
      </c>
      <c r="E64" s="50" t="s">
        <v>341</v>
      </c>
      <c r="F64" s="34" t="s">
        <v>342</v>
      </c>
      <c r="G64" s="30"/>
    </row>
    <row r="65" spans="1:7" ht="28.8">
      <c r="A65" s="23" t="s">
        <v>165</v>
      </c>
      <c r="B65" s="24"/>
      <c r="C65" s="31"/>
      <c r="D65" s="32" t="s">
        <v>547</v>
      </c>
      <c r="E65" s="46"/>
      <c r="F65" s="34" t="s">
        <v>395</v>
      </c>
      <c r="G65" s="30"/>
    </row>
    <row r="66" spans="1:7">
      <c r="A66" s="23" t="s">
        <v>611</v>
      </c>
      <c r="B66" s="24"/>
      <c r="C66" s="31"/>
      <c r="D66" s="45" t="s">
        <v>612</v>
      </c>
      <c r="E66" s="46" t="s">
        <v>613</v>
      </c>
      <c r="F66" s="34" t="s">
        <v>395</v>
      </c>
      <c r="G66" s="30" t="s">
        <v>614</v>
      </c>
    </row>
    <row r="67" spans="1:7" ht="28.8">
      <c r="A67" s="23" t="s">
        <v>135</v>
      </c>
      <c r="B67" s="24" t="s">
        <v>378</v>
      </c>
      <c r="C67" s="31" t="s">
        <v>379</v>
      </c>
      <c r="D67" s="45" t="s">
        <v>380</v>
      </c>
      <c r="E67" s="47" t="s">
        <v>381</v>
      </c>
      <c r="F67" s="34" t="s">
        <v>1</v>
      </c>
      <c r="G67" s="30"/>
    </row>
    <row r="68" spans="1:7" ht="43.2">
      <c r="A68" s="23" t="s">
        <v>158</v>
      </c>
      <c r="B68" s="24" t="s">
        <v>520</v>
      </c>
      <c r="C68" s="31" t="s">
        <v>521</v>
      </c>
      <c r="D68" s="45" t="s">
        <v>522</v>
      </c>
      <c r="E68" s="46" t="s">
        <v>523</v>
      </c>
      <c r="F68" s="34" t="s">
        <v>402</v>
      </c>
      <c r="G68" s="30"/>
    </row>
    <row r="69" spans="1:7" ht="28.8">
      <c r="A69" s="35" t="s">
        <v>446</v>
      </c>
      <c r="B69" s="24" t="s">
        <v>447</v>
      </c>
      <c r="C69" s="36" t="s">
        <v>448</v>
      </c>
      <c r="D69" s="37" t="s">
        <v>449</v>
      </c>
      <c r="E69" s="38" t="s">
        <v>450</v>
      </c>
      <c r="F69" s="48" t="s">
        <v>1</v>
      </c>
      <c r="G69" s="30"/>
    </row>
    <row r="70" spans="1:7" ht="57.6">
      <c r="A70" s="23" t="s">
        <v>0</v>
      </c>
      <c r="B70" s="24" t="s">
        <v>619</v>
      </c>
      <c r="C70" s="49" t="s">
        <v>2</v>
      </c>
      <c r="D70" s="45" t="s">
        <v>620</v>
      </c>
      <c r="E70" s="46"/>
      <c r="F70" s="34" t="s">
        <v>1</v>
      </c>
      <c r="G70" s="30" t="s">
        <v>621</v>
      </c>
    </row>
    <row r="71" spans="1:7" ht="43.2">
      <c r="A71" s="23" t="s">
        <v>412</v>
      </c>
      <c r="B71" s="24" t="s">
        <v>413</v>
      </c>
      <c r="C71" s="31" t="s">
        <v>414</v>
      </c>
      <c r="D71" s="45" t="s">
        <v>415</v>
      </c>
      <c r="E71" s="50" t="s">
        <v>416</v>
      </c>
      <c r="F71" s="34" t="s">
        <v>417</v>
      </c>
      <c r="G71" s="30"/>
    </row>
    <row r="72" spans="1:7" ht="57.6">
      <c r="A72" s="23" t="s">
        <v>151</v>
      </c>
      <c r="B72" s="24" t="s">
        <v>486</v>
      </c>
      <c r="C72" s="31" t="s">
        <v>487</v>
      </c>
      <c r="D72" s="45" t="s">
        <v>488</v>
      </c>
      <c r="E72" s="31" t="s">
        <v>489</v>
      </c>
      <c r="F72" s="34" t="s">
        <v>490</v>
      </c>
      <c r="G72" s="30"/>
    </row>
    <row r="73" spans="1:7" ht="43.2">
      <c r="A73" s="23" t="s">
        <v>141</v>
      </c>
      <c r="B73" s="24" t="s">
        <v>418</v>
      </c>
      <c r="C73" s="31" t="s">
        <v>419</v>
      </c>
      <c r="D73" s="45" t="s">
        <v>420</v>
      </c>
      <c r="E73" s="47" t="s">
        <v>421</v>
      </c>
      <c r="F73" s="34" t="s">
        <v>1</v>
      </c>
      <c r="G73" s="30"/>
    </row>
    <row r="74" spans="1:7" ht="28.8">
      <c r="A74" s="23" t="s">
        <v>129</v>
      </c>
      <c r="B74" s="24"/>
      <c r="C74" s="25" t="s">
        <v>335</v>
      </c>
      <c r="D74" s="28" t="s">
        <v>336</v>
      </c>
      <c r="E74" s="55" t="s">
        <v>337</v>
      </c>
      <c r="F74" s="29"/>
      <c r="G74" s="30"/>
    </row>
    <row r="75" spans="1:7">
      <c r="A75" s="23" t="s">
        <v>76</v>
      </c>
      <c r="B75" s="24" t="s">
        <v>599</v>
      </c>
      <c r="C75" s="49" t="s">
        <v>600</v>
      </c>
      <c r="D75" s="45" t="s">
        <v>601</v>
      </c>
      <c r="E75" s="46" t="s">
        <v>602</v>
      </c>
      <c r="F75" s="34" t="s">
        <v>395</v>
      </c>
      <c r="G75" s="30"/>
    </row>
    <row r="76" spans="1:7" ht="28.8">
      <c r="A76" s="23" t="s">
        <v>200</v>
      </c>
      <c r="B76" s="24" t="s">
        <v>587</v>
      </c>
      <c r="C76" s="31" t="s">
        <v>588</v>
      </c>
      <c r="D76" s="45" t="s">
        <v>589</v>
      </c>
      <c r="E76" s="46" t="s">
        <v>590</v>
      </c>
      <c r="F76" s="34" t="s">
        <v>1</v>
      </c>
      <c r="G76" s="30"/>
    </row>
    <row r="77" spans="1:7" ht="28.8">
      <c r="A77" s="23" t="s">
        <v>97</v>
      </c>
      <c r="B77" s="24" t="s">
        <v>560</v>
      </c>
      <c r="C77" s="49" t="s">
        <v>561</v>
      </c>
      <c r="D77" s="45" t="s">
        <v>562</v>
      </c>
      <c r="E77" s="46" t="s">
        <v>563</v>
      </c>
      <c r="F77" s="34" t="s">
        <v>342</v>
      </c>
      <c r="G77" s="30"/>
    </row>
    <row r="78" spans="1:7" ht="28.8">
      <c r="A78" s="23" t="s">
        <v>173</v>
      </c>
      <c r="B78" s="24"/>
      <c r="C78" s="50" t="s">
        <v>580</v>
      </c>
      <c r="D78" s="45" t="s">
        <v>581</v>
      </c>
      <c r="E78" s="46" t="s">
        <v>582</v>
      </c>
      <c r="F78" s="34" t="s">
        <v>1</v>
      </c>
      <c r="G78" s="30"/>
    </row>
    <row r="79" spans="1:7" ht="28.8">
      <c r="A79" s="23" t="s">
        <v>134</v>
      </c>
      <c r="B79" s="24" t="s">
        <v>369</v>
      </c>
      <c r="C79" s="31" t="s">
        <v>370</v>
      </c>
      <c r="D79" s="45" t="s">
        <v>371</v>
      </c>
      <c r="E79" s="46" t="s">
        <v>372</v>
      </c>
      <c r="F79" s="34" t="s">
        <v>373</v>
      </c>
      <c r="G79" s="30"/>
    </row>
    <row r="80" spans="1:7" ht="28.8">
      <c r="A80" s="23" t="s">
        <v>136</v>
      </c>
      <c r="B80" s="24" t="s">
        <v>382</v>
      </c>
      <c r="C80" s="31" t="s">
        <v>383</v>
      </c>
      <c r="D80" s="45" t="s">
        <v>384</v>
      </c>
      <c r="E80" s="46" t="s">
        <v>385</v>
      </c>
      <c r="F80" s="34" t="s">
        <v>386</v>
      </c>
      <c r="G80" s="30"/>
    </row>
    <row r="81" spans="1:7" ht="28.8">
      <c r="A81" s="23" t="s">
        <v>175</v>
      </c>
      <c r="B81" s="24" t="s">
        <v>603</v>
      </c>
      <c r="C81" s="49" t="s">
        <v>604</v>
      </c>
      <c r="D81" s="45" t="s">
        <v>605</v>
      </c>
      <c r="E81" s="46" t="s">
        <v>606</v>
      </c>
      <c r="F81" s="34" t="s">
        <v>1</v>
      </c>
      <c r="G81" s="30"/>
    </row>
    <row r="82" spans="1:7" ht="28.8">
      <c r="A82" s="77" t="s">
        <v>668</v>
      </c>
      <c r="B82" s="24" t="s">
        <v>669</v>
      </c>
      <c r="C82" s="76" t="s">
        <v>670</v>
      </c>
      <c r="D82" s="79" t="s">
        <v>671</v>
      </c>
      <c r="E82" s="80" t="s">
        <v>672</v>
      </c>
      <c r="F82" s="78" t="s">
        <v>368</v>
      </c>
      <c r="G82" s="27"/>
    </row>
  </sheetData>
  <hyperlinks>
    <hyperlink ref="C45" r:id="rId1"/>
    <hyperlink ref="E45" r:id="rId2"/>
    <hyperlink ref="E74" r:id="rId3" display="info@sihirlimaket.com"/>
    <hyperlink ref="E64" r:id="rId4" display="mailto:%20bilgi@onurmaket.com"/>
    <hyperlink ref="E46" r:id="rId5" display="mailto:makethane@marimeks.com.tr"/>
    <hyperlink ref="E57" r:id="rId6"/>
    <hyperlink ref="E58" r:id="rId7"/>
    <hyperlink ref="E51" r:id="rId8"/>
    <hyperlink ref="E59" r:id="rId9" display="mailto:maketmina@gmail.com"/>
    <hyperlink ref="E60" r:id="rId10" display="modelmaket1@gmail.com "/>
    <hyperlink ref="E50" r:id="rId11" display="http://izlencebilisim.com/maketsan/index.php?sayfa=iletisim"/>
    <hyperlink ref="E69" r:id="rId12" display="mailto:promaktasarim@gmail.com"/>
    <hyperlink ref="E71" r:id="rId13" display="info@samemaket.com  "/>
    <hyperlink ref="C64" r:id="rId14"/>
    <hyperlink ref="C46" r:id="rId15"/>
    <hyperlink ref="C49" r:id="rId16"/>
    <hyperlink ref="C79" r:id="rId17"/>
    <hyperlink ref="C57" r:id="rId18"/>
    <hyperlink ref="C67" r:id="rId19"/>
    <hyperlink ref="C80" r:id="rId20"/>
    <hyperlink ref="C27" r:id="rId21"/>
    <hyperlink ref="C10" r:id="rId22"/>
    <hyperlink ref="C54" r:id="rId23"/>
    <hyperlink ref="C23" r:id="rId24"/>
    <hyperlink ref="C44" r:id="rId25"/>
    <hyperlink ref="C73" r:id="rId26"/>
    <hyperlink ref="C51" r:id="rId27"/>
    <hyperlink ref="C2" r:id="rId28"/>
    <hyperlink ref="C59" r:id="rId29"/>
    <hyperlink ref="C60" r:id="rId30"/>
    <hyperlink ref="C50" r:id="rId31"/>
    <hyperlink ref="C69" r:id="rId32"/>
    <hyperlink ref="C25" r:id="rId33"/>
    <hyperlink ref="C55" r:id="rId34"/>
    <hyperlink ref="E55" r:id="rId35" display="info@maketizmir.com"/>
    <hyperlink ref="E19" r:id="rId36"/>
    <hyperlink ref="E53" r:id="rId37" display="mavimaket@gmail.com"/>
    <hyperlink ref="E18" r:id="rId38"/>
    <hyperlink ref="E16" r:id="rId39" display="info@atolye86.com"/>
    <hyperlink ref="C53" r:id="rId40"/>
    <hyperlink ref="E7" r:id="rId41" display="info@arcmaketevi.com"/>
    <hyperlink ref="E40" r:id="rId42"/>
    <hyperlink ref="E77" r:id="rId43"/>
    <hyperlink ref="E34" r:id="rId44"/>
    <hyperlink ref="E8" r:id="rId45"/>
    <hyperlink ref="E14" r:id="rId46" display="info@atolye77.com.tr"/>
    <hyperlink ref="E26" r:id="rId47" display="destek@cizgimaket.com"/>
    <hyperlink ref="E78" r:id="rId48"/>
    <hyperlink ref="E37" r:id="rId49" display="info@kucukatolye.com"/>
    <hyperlink ref="E76" r:id="rId50"/>
    <hyperlink ref="E11" r:id="rId51"/>
    <hyperlink ref="E42" r:id="rId52"/>
    <hyperlink ref="E75" r:id="rId53"/>
    <hyperlink ref="E81" r:id="rId54"/>
    <hyperlink ref="E3" r:id="rId55"/>
    <hyperlink ref="E72" r:id="rId56" display="mehmettokgoz@hotmail.com"/>
    <hyperlink ref="E39" r:id="rId57" display="mehmetakifersoy1953@mynet.com"/>
    <hyperlink ref="E6" r:id="rId58"/>
    <hyperlink ref="E63" r:id="rId59" display="info@objemaket.com"/>
    <hyperlink ref="E21" r:id="rId60"/>
    <hyperlink ref="E12" r:id="rId61"/>
    <hyperlink ref="E17" r:id="rId62"/>
    <hyperlink ref="E15" r:id="rId63" display="info@atolye78.com"/>
    <hyperlink ref="E68" r:id="rId64"/>
    <hyperlink ref="E36" r:id="rId65" display="kudat@kudat.com.tr"/>
    <hyperlink ref="E13" r:id="rId66"/>
    <hyperlink ref="E22" r:id="rId67"/>
    <hyperlink ref="E5" r:id="rId68"/>
    <hyperlink ref="C7" r:id="rId69"/>
    <hyperlink ref="C76" r:id="rId70"/>
    <hyperlink ref="E79" r:id="rId71"/>
    <hyperlink ref="E23" r:id="rId72" display="info@bilkamaket.com "/>
    <hyperlink ref="C5" r:id="rId73"/>
    <hyperlink ref="C22" r:id="rId74"/>
    <hyperlink ref="C13" r:id="rId75"/>
    <hyperlink ref="C17" r:id="rId76"/>
    <hyperlink ref="C12" r:id="rId77"/>
    <hyperlink ref="C21" r:id="rId78"/>
    <hyperlink ref="C63" r:id="rId79"/>
    <hyperlink ref="C39" r:id="rId80"/>
    <hyperlink ref="E80" r:id="rId81"/>
    <hyperlink ref="E27" r:id="rId82"/>
    <hyperlink ref="E2" r:id="rId83"/>
    <hyperlink ref="C38" r:id="rId84"/>
    <hyperlink ref="E38" r:id="rId85"/>
    <hyperlink ref="C18" r:id="rId86"/>
    <hyperlink ref="E31" r:id="rId87"/>
    <hyperlink ref="C16" r:id="rId88"/>
    <hyperlink ref="C3" r:id="rId89"/>
    <hyperlink ref="C72" r:id="rId90"/>
    <hyperlink ref="C6" r:id="rId91"/>
    <hyperlink ref="C15" r:id="rId92"/>
    <hyperlink ref="C36" r:id="rId93"/>
    <hyperlink ref="C56" r:id="rId94"/>
    <hyperlink ref="C68" r:id="rId95"/>
    <hyperlink ref="E10" r:id="rId96" display="arte@artemaket.com "/>
    <hyperlink ref="C8" r:id="rId97"/>
    <hyperlink ref="C40" r:id="rId98"/>
    <hyperlink ref="E49" r:id="rId99" display="info@maketronik.com"/>
    <hyperlink ref="E56" r:id="rId100"/>
    <hyperlink ref="E32" r:id="rId101"/>
    <hyperlink ref="C11" r:id="rId102"/>
    <hyperlink ref="C37" r:id="rId103"/>
    <hyperlink ref="E30" r:id="rId104"/>
    <hyperlink ref="C71" r:id="rId105"/>
    <hyperlink ref="C29" r:id="rId106"/>
    <hyperlink ref="E61" r:id="rId107" display="modelart@modelart.com.tr"/>
    <hyperlink ref="C61" r:id="rId108"/>
    <hyperlink ref="E25" r:id="rId109" display="cinarmaket@gmail.com"/>
    <hyperlink ref="D59" r:id="rId110" display="tel:+902164964223"/>
    <hyperlink ref="C28" r:id="rId111"/>
    <hyperlink ref="C9" r:id="rId112"/>
    <hyperlink ref="C43" r:id="rId113"/>
    <hyperlink ref="C52" r:id="rId114"/>
    <hyperlink ref="E52" r:id="rId115"/>
    <hyperlink ref="C74" r:id="rId116"/>
    <hyperlink ref="C58" r:id="rId117"/>
    <hyperlink ref="C19" r:id="rId118"/>
    <hyperlink ref="C32" r:id="rId119"/>
    <hyperlink ref="C77" r:id="rId120"/>
    <hyperlink ref="C14" r:id="rId121"/>
    <hyperlink ref="C26" r:id="rId122"/>
    <hyperlink ref="C42" r:id="rId123"/>
    <hyperlink ref="C75" r:id="rId124"/>
    <hyperlink ref="C81" r:id="rId125"/>
    <hyperlink ref="C70" r:id="rId126"/>
    <hyperlink ref="C47" r:id="rId127"/>
    <hyperlink ref="C41" r:id="rId128"/>
    <hyperlink ref="E82" r:id="rId129"/>
  </hyperlinks>
  <pageMargins left="0.7" right="0.7" top="0.75" bottom="0.75" header="0.3" footer="0.3"/>
  <pageSetup paperSize="9" orientation="portrait" verticalDpi="0" r:id="rId130"/>
  <tableParts count="1">
    <tablePart r:id="rId131"/>
  </tableParts>
</worksheet>
</file>

<file path=xl/worksheets/sheet3.xml><?xml version="1.0" encoding="utf-8"?>
<worksheet xmlns="http://schemas.openxmlformats.org/spreadsheetml/2006/main" xmlns:r="http://schemas.openxmlformats.org/officeDocument/2006/relationships">
  <sheetPr codeName="Sayfa3"/>
  <dimension ref="A1:M73"/>
  <sheetViews>
    <sheetView topLeftCell="A42" zoomScale="85" zoomScaleNormal="85" workbookViewId="0">
      <selection activeCell="A65" sqref="A65"/>
    </sheetView>
  </sheetViews>
  <sheetFormatPr defaultRowHeight="14.4"/>
  <cols>
    <col min="1" max="1" width="21.88671875" customWidth="1"/>
    <col min="2" max="2" width="21" customWidth="1"/>
    <col min="3" max="3" width="31.44140625" customWidth="1"/>
    <col min="4" max="4" width="24.33203125" customWidth="1"/>
    <col min="5" max="6" width="20.88671875" customWidth="1"/>
    <col min="7" max="7" width="20.44140625" customWidth="1"/>
    <col min="8" max="8" width="21.88671875" customWidth="1"/>
    <col min="9" max="9" width="22.33203125" customWidth="1"/>
    <col min="10" max="10" width="21.5546875" customWidth="1"/>
    <col min="11" max="11" width="18.109375" customWidth="1"/>
    <col min="12" max="12" width="20" customWidth="1"/>
    <col min="13" max="13" width="17.44140625" customWidth="1"/>
  </cols>
  <sheetData>
    <row r="1" spans="1:13" ht="15" thickBot="1">
      <c r="A1" s="20" t="s">
        <v>36</v>
      </c>
      <c r="B1" s="20" t="s">
        <v>3</v>
      </c>
      <c r="C1" s="20" t="s">
        <v>4</v>
      </c>
      <c r="D1" s="20" t="s">
        <v>5</v>
      </c>
      <c r="E1" s="20" t="s">
        <v>6</v>
      </c>
      <c r="F1" s="20" t="s">
        <v>7</v>
      </c>
      <c r="G1" s="20" t="s">
        <v>8</v>
      </c>
      <c r="H1" s="20" t="s">
        <v>9</v>
      </c>
      <c r="I1" s="20" t="s">
        <v>10</v>
      </c>
      <c r="J1" s="20" t="s">
        <v>11</v>
      </c>
      <c r="K1" s="20" t="s">
        <v>12</v>
      </c>
      <c r="L1" s="20" t="s">
        <v>13</v>
      </c>
      <c r="M1" s="20" t="s">
        <v>14</v>
      </c>
    </row>
    <row r="2" spans="1:13" ht="29.4" thickTop="1">
      <c r="A2" s="13" t="s">
        <v>55</v>
      </c>
      <c r="B2" s="13" t="s">
        <v>15</v>
      </c>
      <c r="C2" s="13" t="s">
        <v>48</v>
      </c>
      <c r="D2" s="13" t="s">
        <v>17</v>
      </c>
      <c r="E2" s="14" t="s">
        <v>56</v>
      </c>
      <c r="F2" s="13" t="s">
        <v>16</v>
      </c>
      <c r="G2" s="14" t="s">
        <v>57</v>
      </c>
      <c r="H2" s="14" t="s">
        <v>58</v>
      </c>
      <c r="I2" s="13" t="s">
        <v>59</v>
      </c>
      <c r="J2" s="14" t="s">
        <v>60</v>
      </c>
      <c r="K2" s="13"/>
      <c r="L2" s="13" t="s">
        <v>61</v>
      </c>
      <c r="M2" s="13"/>
    </row>
    <row r="3" spans="1:13" ht="43.2">
      <c r="A3" s="13" t="s">
        <v>69</v>
      </c>
      <c r="B3" s="13" t="s">
        <v>47</v>
      </c>
      <c r="C3" s="13" t="s">
        <v>48</v>
      </c>
      <c r="D3" s="13" t="s">
        <v>17</v>
      </c>
      <c r="E3" s="14" t="s">
        <v>70</v>
      </c>
      <c r="F3" s="13" t="s">
        <v>48</v>
      </c>
      <c r="G3" s="14" t="s">
        <v>71</v>
      </c>
      <c r="H3" s="13" t="s">
        <v>72</v>
      </c>
      <c r="I3" s="13"/>
      <c r="J3" s="14" t="s">
        <v>73</v>
      </c>
      <c r="K3" s="14" t="s">
        <v>74</v>
      </c>
      <c r="L3" s="14" t="s">
        <v>75</v>
      </c>
      <c r="M3" s="13"/>
    </row>
    <row r="4" spans="1:13" ht="28.8">
      <c r="A4" s="14" t="s">
        <v>116</v>
      </c>
      <c r="B4" s="13" t="s">
        <v>63</v>
      </c>
      <c r="C4" s="13" t="s">
        <v>16</v>
      </c>
      <c r="D4" s="14" t="s">
        <v>101</v>
      </c>
      <c r="E4" s="13"/>
      <c r="F4" s="13" t="s">
        <v>16</v>
      </c>
      <c r="G4" s="13" t="s">
        <v>108</v>
      </c>
      <c r="H4" s="13" t="s">
        <v>58</v>
      </c>
      <c r="I4" s="13" t="s">
        <v>59</v>
      </c>
      <c r="J4" s="14" t="s">
        <v>117</v>
      </c>
      <c r="K4" s="13"/>
      <c r="L4" s="13"/>
      <c r="M4" s="13"/>
    </row>
    <row r="5" spans="1:13">
      <c r="A5" s="13" t="s">
        <v>107</v>
      </c>
      <c r="B5" s="13" t="s">
        <v>98</v>
      </c>
      <c r="C5" s="13" t="s">
        <v>59</v>
      </c>
      <c r="D5" s="14" t="s">
        <v>101</v>
      </c>
      <c r="E5" s="13"/>
      <c r="F5" s="13" t="s">
        <v>16</v>
      </c>
      <c r="G5" s="13" t="s">
        <v>108</v>
      </c>
      <c r="H5" s="14" t="s">
        <v>109</v>
      </c>
      <c r="I5" s="13" t="s">
        <v>59</v>
      </c>
      <c r="J5" s="13"/>
      <c r="K5" s="13"/>
      <c r="L5" s="13" t="s">
        <v>110</v>
      </c>
      <c r="M5" s="13"/>
    </row>
    <row r="6" spans="1:13">
      <c r="A6" s="13" t="s">
        <v>120</v>
      </c>
      <c r="B6" s="13" t="s">
        <v>98</v>
      </c>
      <c r="C6" s="13" t="s">
        <v>48</v>
      </c>
      <c r="D6" s="13" t="s">
        <v>17</v>
      </c>
      <c r="E6" s="14" t="s">
        <v>121</v>
      </c>
      <c r="F6" s="13" t="s">
        <v>122</v>
      </c>
      <c r="G6" s="13" t="s">
        <v>123</v>
      </c>
      <c r="H6" s="13" t="s">
        <v>58</v>
      </c>
      <c r="I6" s="13" t="s">
        <v>59</v>
      </c>
      <c r="J6" s="13"/>
      <c r="K6" s="13"/>
      <c r="L6" s="13" t="s">
        <v>124</v>
      </c>
      <c r="M6" s="13"/>
    </row>
    <row r="7" spans="1:13" ht="72">
      <c r="A7" s="13" t="s">
        <v>76</v>
      </c>
      <c r="B7" s="13" t="s">
        <v>77</v>
      </c>
      <c r="C7" s="13" t="s">
        <v>19</v>
      </c>
      <c r="D7" s="13" t="s">
        <v>22</v>
      </c>
      <c r="E7" s="14" t="s">
        <v>78</v>
      </c>
      <c r="F7" s="13" t="s">
        <v>79</v>
      </c>
      <c r="G7" s="14" t="s">
        <v>80</v>
      </c>
      <c r="H7" s="13" t="s">
        <v>58</v>
      </c>
      <c r="I7" s="13" t="s">
        <v>81</v>
      </c>
      <c r="J7" s="13"/>
      <c r="K7" s="13"/>
      <c r="L7" s="14" t="s">
        <v>82</v>
      </c>
      <c r="M7" s="13"/>
    </row>
    <row r="8" spans="1:13" ht="28.8">
      <c r="A8" s="13" t="s">
        <v>495</v>
      </c>
      <c r="B8" s="13" t="s">
        <v>77</v>
      </c>
      <c r="C8" s="13" t="s">
        <v>48</v>
      </c>
      <c r="D8" s="14" t="s">
        <v>101</v>
      </c>
      <c r="E8" s="14" t="s">
        <v>102</v>
      </c>
      <c r="F8" s="13" t="s">
        <v>16</v>
      </c>
      <c r="G8" s="14" t="s">
        <v>112</v>
      </c>
      <c r="H8" s="13"/>
      <c r="I8" s="13"/>
      <c r="J8" s="14" t="s">
        <v>113</v>
      </c>
      <c r="K8" s="13"/>
      <c r="L8" s="13"/>
      <c r="M8" s="13"/>
    </row>
    <row r="9" spans="1:13" ht="28.8">
      <c r="A9" s="13" t="s">
        <v>100</v>
      </c>
      <c r="B9" s="13" t="s">
        <v>77</v>
      </c>
      <c r="C9" s="13" t="s">
        <v>48</v>
      </c>
      <c r="D9" s="14" t="s">
        <v>101</v>
      </c>
      <c r="E9" s="14" t="s">
        <v>102</v>
      </c>
      <c r="F9" s="13" t="s">
        <v>16</v>
      </c>
      <c r="G9" s="14" t="s">
        <v>103</v>
      </c>
      <c r="H9" s="13" t="s">
        <v>104</v>
      </c>
      <c r="I9" s="13" t="s">
        <v>81</v>
      </c>
      <c r="J9" s="14" t="s">
        <v>105</v>
      </c>
      <c r="K9" s="13"/>
      <c r="L9" s="14" t="s">
        <v>106</v>
      </c>
      <c r="M9" s="13"/>
    </row>
    <row r="10" spans="1:13">
      <c r="A10" s="13" t="s">
        <v>125</v>
      </c>
      <c r="B10" s="13"/>
      <c r="C10" s="13"/>
      <c r="D10" s="13"/>
      <c r="E10" s="13"/>
      <c r="F10" s="13" t="s">
        <v>16</v>
      </c>
      <c r="G10" s="14" t="s">
        <v>126</v>
      </c>
      <c r="H10" s="13" t="s">
        <v>127</v>
      </c>
      <c r="I10" s="13" t="s">
        <v>59</v>
      </c>
      <c r="J10" s="13"/>
      <c r="K10" s="13"/>
      <c r="L10" s="13" t="s">
        <v>128</v>
      </c>
      <c r="M10" s="13"/>
    </row>
    <row r="11" spans="1:13" ht="57.6">
      <c r="A11" s="13" t="s">
        <v>93</v>
      </c>
      <c r="B11" s="13" t="s">
        <v>63</v>
      </c>
      <c r="C11" s="13" t="s">
        <v>89</v>
      </c>
      <c r="D11" s="13" t="s">
        <v>17</v>
      </c>
      <c r="E11" s="13" t="s">
        <v>18</v>
      </c>
      <c r="F11" s="13" t="s">
        <v>22</v>
      </c>
      <c r="G11" s="13" t="s">
        <v>50</v>
      </c>
      <c r="H11" s="13" t="s">
        <v>21</v>
      </c>
      <c r="I11" s="13" t="s">
        <v>94</v>
      </c>
      <c r="J11" s="14" t="s">
        <v>95</v>
      </c>
      <c r="K11" s="13"/>
      <c r="L11" s="14" t="s">
        <v>96</v>
      </c>
      <c r="M11" s="13"/>
    </row>
    <row r="12" spans="1:13" ht="28.8">
      <c r="A12" s="13" t="s">
        <v>46</v>
      </c>
      <c r="B12" s="13" t="s">
        <v>47</v>
      </c>
      <c r="C12" s="13" t="s">
        <v>48</v>
      </c>
      <c r="D12" s="13" t="s">
        <v>17</v>
      </c>
      <c r="E12" s="14" t="s">
        <v>49</v>
      </c>
      <c r="F12" s="13" t="s">
        <v>48</v>
      </c>
      <c r="G12" s="13" t="s">
        <v>50</v>
      </c>
      <c r="H12" s="13" t="s">
        <v>21</v>
      </c>
      <c r="I12" s="14" t="s">
        <v>51</v>
      </c>
      <c r="J12" s="14" t="s">
        <v>52</v>
      </c>
      <c r="K12" s="13"/>
      <c r="L12" s="13" t="s">
        <v>53</v>
      </c>
      <c r="M12" s="13" t="s">
        <v>644</v>
      </c>
    </row>
    <row r="13" spans="1:13" ht="28.8">
      <c r="A13" s="13" t="s">
        <v>62</v>
      </c>
      <c r="B13" s="13" t="s">
        <v>63</v>
      </c>
      <c r="C13" s="13" t="s">
        <v>48</v>
      </c>
      <c r="D13" s="13" t="s">
        <v>17</v>
      </c>
      <c r="E13" s="13" t="s">
        <v>64</v>
      </c>
      <c r="F13" s="13" t="s">
        <v>48</v>
      </c>
      <c r="G13" s="13" t="s">
        <v>673</v>
      </c>
      <c r="H13" s="14" t="s">
        <v>58</v>
      </c>
      <c r="I13" s="13" t="s">
        <v>59</v>
      </c>
      <c r="J13" s="14" t="s">
        <v>60</v>
      </c>
      <c r="K13" s="13"/>
      <c r="L13" s="14" t="s">
        <v>65</v>
      </c>
      <c r="M13" s="13"/>
    </row>
    <row r="14" spans="1:13" ht="28.8">
      <c r="A14" s="13" t="s">
        <v>83</v>
      </c>
      <c r="B14" s="13" t="s">
        <v>84</v>
      </c>
      <c r="C14" s="13" t="s">
        <v>22</v>
      </c>
      <c r="D14" s="13" t="s">
        <v>17</v>
      </c>
      <c r="E14" s="13" t="s">
        <v>85</v>
      </c>
      <c r="F14" s="13" t="s">
        <v>79</v>
      </c>
      <c r="G14" s="14" t="s">
        <v>86</v>
      </c>
      <c r="H14" s="13"/>
      <c r="I14" s="13"/>
      <c r="J14" s="13"/>
      <c r="K14" s="13"/>
      <c r="L14" s="14" t="s">
        <v>87</v>
      </c>
      <c r="M14" s="13"/>
    </row>
    <row r="15" spans="1:13" ht="28.8">
      <c r="A15" s="13" t="s">
        <v>66</v>
      </c>
      <c r="B15" s="13" t="s">
        <v>63</v>
      </c>
      <c r="C15" s="13" t="s">
        <v>48</v>
      </c>
      <c r="D15" s="13" t="s">
        <v>17</v>
      </c>
      <c r="E15" s="14" t="s">
        <v>56</v>
      </c>
      <c r="F15" s="13" t="s">
        <v>48</v>
      </c>
      <c r="G15" s="14" t="s">
        <v>67</v>
      </c>
      <c r="H15" s="14" t="s">
        <v>58</v>
      </c>
      <c r="I15" s="13" t="s">
        <v>59</v>
      </c>
      <c r="J15" s="13"/>
      <c r="K15" s="13"/>
      <c r="L15" s="13" t="s">
        <v>68</v>
      </c>
      <c r="M15" s="13"/>
    </row>
    <row r="16" spans="1:13" ht="28.8">
      <c r="A16" s="13" t="s">
        <v>45</v>
      </c>
      <c r="B16" s="13" t="s">
        <v>15</v>
      </c>
      <c r="C16" s="13" t="s">
        <v>16</v>
      </c>
      <c r="D16" s="13" t="s">
        <v>17</v>
      </c>
      <c r="E16" s="13" t="s">
        <v>18</v>
      </c>
      <c r="F16" s="13" t="s">
        <v>19</v>
      </c>
      <c r="G16" s="14" t="s">
        <v>20</v>
      </c>
      <c r="H16" s="13" t="s">
        <v>21</v>
      </c>
      <c r="I16" s="13" t="s">
        <v>22</v>
      </c>
      <c r="J16" s="14" t="s">
        <v>23</v>
      </c>
      <c r="K16" s="13"/>
      <c r="L16" s="14" t="s">
        <v>24</v>
      </c>
      <c r="M16" s="13"/>
    </row>
    <row r="17" spans="1:13" ht="57.6">
      <c r="A17" s="13" t="s">
        <v>114</v>
      </c>
      <c r="B17" s="13" t="s">
        <v>77</v>
      </c>
      <c r="C17" s="13" t="s">
        <v>59</v>
      </c>
      <c r="D17" s="14" t="s">
        <v>101</v>
      </c>
      <c r="E17" s="13"/>
      <c r="F17" s="13" t="s">
        <v>16</v>
      </c>
      <c r="G17" s="13"/>
      <c r="H17" s="13"/>
      <c r="I17" s="13"/>
      <c r="J17" s="14" t="s">
        <v>115</v>
      </c>
      <c r="K17" s="13"/>
      <c r="L17" s="13"/>
      <c r="M17" s="13"/>
    </row>
    <row r="18" spans="1:13">
      <c r="A18" s="13" t="s">
        <v>150</v>
      </c>
      <c r="B18" s="13"/>
      <c r="C18" s="13"/>
      <c r="D18" s="13"/>
      <c r="E18" s="13"/>
      <c r="F18" s="13"/>
      <c r="G18" s="13"/>
      <c r="H18" s="13"/>
      <c r="I18" s="13"/>
      <c r="J18" s="13"/>
      <c r="K18" s="13"/>
      <c r="L18" s="13"/>
      <c r="M18" s="13"/>
    </row>
    <row r="19" spans="1:13">
      <c r="A19" s="13" t="s">
        <v>163</v>
      </c>
      <c r="B19" s="13"/>
      <c r="C19" s="13"/>
      <c r="D19" s="13"/>
      <c r="E19" s="13"/>
      <c r="F19" s="13"/>
      <c r="G19" s="13"/>
      <c r="H19" s="13"/>
      <c r="I19" s="13"/>
      <c r="J19" s="13"/>
      <c r="K19" s="13"/>
      <c r="L19" s="13"/>
      <c r="M19" s="13"/>
    </row>
    <row r="20" spans="1:13" ht="28.8">
      <c r="A20" s="13" t="s">
        <v>118</v>
      </c>
      <c r="B20" s="13" t="s">
        <v>77</v>
      </c>
      <c r="C20" s="13" t="s">
        <v>59</v>
      </c>
      <c r="D20" s="14" t="s">
        <v>101</v>
      </c>
      <c r="E20" s="13"/>
      <c r="F20" s="13"/>
      <c r="G20" s="13"/>
      <c r="H20" s="13" t="s">
        <v>58</v>
      </c>
      <c r="I20" s="13" t="s">
        <v>59</v>
      </c>
      <c r="J20" s="13"/>
      <c r="K20" s="13"/>
      <c r="L20" s="14" t="s">
        <v>119</v>
      </c>
      <c r="M20" s="13"/>
    </row>
    <row r="21" spans="1:13" ht="43.2">
      <c r="A21" s="13" t="s">
        <v>88</v>
      </c>
      <c r="B21" s="13" t="s">
        <v>77</v>
      </c>
      <c r="C21" s="13" t="s">
        <v>89</v>
      </c>
      <c r="D21" s="13" t="s">
        <v>90</v>
      </c>
      <c r="E21" s="13" t="s">
        <v>85</v>
      </c>
      <c r="F21" s="13" t="s">
        <v>16</v>
      </c>
      <c r="G21" s="13"/>
      <c r="H21" s="13"/>
      <c r="I21" s="13" t="s">
        <v>59</v>
      </c>
      <c r="J21" s="14" t="s">
        <v>91</v>
      </c>
      <c r="K21" s="13"/>
      <c r="L21" s="14" t="s">
        <v>92</v>
      </c>
      <c r="M21" s="13"/>
    </row>
    <row r="22" spans="1:13">
      <c r="A22" s="13" t="s">
        <v>155</v>
      </c>
      <c r="B22" s="13"/>
      <c r="C22" s="13"/>
      <c r="D22" s="13"/>
      <c r="E22" s="13"/>
      <c r="F22" s="13"/>
      <c r="G22" s="13"/>
      <c r="H22" s="13"/>
      <c r="I22" s="13"/>
      <c r="J22" s="13"/>
      <c r="K22" s="13"/>
      <c r="L22" s="13"/>
      <c r="M22" s="13"/>
    </row>
    <row r="23" spans="1:13">
      <c r="A23" s="13" t="s">
        <v>161</v>
      </c>
      <c r="B23" s="13"/>
      <c r="C23" s="13"/>
      <c r="D23" s="13"/>
      <c r="E23" s="13"/>
      <c r="F23" s="13"/>
      <c r="G23" s="13"/>
      <c r="H23" s="13"/>
      <c r="I23" s="13"/>
      <c r="J23" s="13"/>
      <c r="K23" s="13"/>
      <c r="L23" s="13"/>
      <c r="M23" s="13"/>
    </row>
    <row r="24" spans="1:13">
      <c r="A24" s="13" t="s">
        <v>157</v>
      </c>
      <c r="B24" s="13"/>
      <c r="C24" s="13"/>
      <c r="D24" s="13"/>
      <c r="E24" s="13"/>
      <c r="F24" s="13"/>
      <c r="G24" s="13"/>
      <c r="H24" s="13"/>
      <c r="I24" s="13"/>
      <c r="J24" s="13"/>
      <c r="K24" s="13"/>
      <c r="L24" s="13"/>
      <c r="M24" s="13"/>
    </row>
    <row r="25" spans="1:13">
      <c r="A25" s="13" t="s">
        <v>149</v>
      </c>
      <c r="B25" s="13"/>
      <c r="C25" s="13"/>
      <c r="D25" s="13"/>
      <c r="E25" s="13"/>
      <c r="F25" s="13"/>
      <c r="G25" s="13"/>
      <c r="H25" s="13"/>
      <c r="I25" s="13"/>
      <c r="J25" s="13"/>
      <c r="K25" s="13"/>
      <c r="L25" s="13"/>
      <c r="M25" s="13"/>
    </row>
    <row r="26" spans="1:13">
      <c r="A26" s="13" t="s">
        <v>156</v>
      </c>
      <c r="B26" s="13"/>
      <c r="C26" s="13"/>
      <c r="D26" s="13"/>
      <c r="E26" s="13"/>
      <c r="F26" s="13"/>
      <c r="G26" s="13"/>
      <c r="H26" s="13"/>
      <c r="I26" s="13"/>
      <c r="J26" s="13"/>
      <c r="K26" s="13"/>
      <c r="L26" s="13"/>
      <c r="M26" s="13"/>
    </row>
    <row r="27" spans="1:13">
      <c r="A27" s="14" t="s">
        <v>148</v>
      </c>
      <c r="B27" s="13"/>
      <c r="C27" s="13"/>
      <c r="D27" s="13"/>
      <c r="E27" s="13"/>
      <c r="F27" s="13"/>
      <c r="G27" s="13"/>
      <c r="H27" s="13"/>
      <c r="I27" s="13"/>
      <c r="J27" s="13"/>
      <c r="K27" s="13"/>
      <c r="L27" s="13"/>
      <c r="M27" s="13"/>
    </row>
    <row r="28" spans="1:13">
      <c r="A28" s="59" t="s">
        <v>145</v>
      </c>
      <c r="B28" s="13"/>
      <c r="C28" s="13"/>
      <c r="D28" s="13"/>
      <c r="E28" s="13"/>
      <c r="F28" s="13"/>
      <c r="G28" s="13"/>
      <c r="H28" s="13"/>
      <c r="I28" s="13"/>
      <c r="J28" s="13"/>
      <c r="K28" s="13"/>
      <c r="L28" s="13"/>
      <c r="M28" s="13"/>
    </row>
    <row r="29" spans="1:13">
      <c r="A29" s="14" t="s">
        <v>168</v>
      </c>
      <c r="B29" s="13"/>
      <c r="C29" s="13"/>
      <c r="D29" s="13"/>
      <c r="E29" s="13"/>
      <c r="F29" s="13"/>
      <c r="G29" s="13"/>
      <c r="H29" s="13"/>
      <c r="I29" s="13"/>
      <c r="J29" s="13"/>
      <c r="K29" s="13"/>
      <c r="L29" s="13"/>
      <c r="M29" s="13"/>
    </row>
    <row r="30" spans="1:13">
      <c r="A30" s="13" t="s">
        <v>154</v>
      </c>
      <c r="B30" s="13"/>
      <c r="C30" s="13"/>
      <c r="D30" s="13"/>
      <c r="E30" s="13"/>
      <c r="F30" s="13"/>
      <c r="G30" s="13"/>
      <c r="H30" s="13"/>
      <c r="I30" s="13"/>
      <c r="J30" s="13"/>
      <c r="K30" s="13"/>
      <c r="L30" s="13"/>
      <c r="M30" s="13"/>
    </row>
    <row r="31" spans="1:13">
      <c r="A31" s="13" t="s">
        <v>162</v>
      </c>
      <c r="B31" s="13"/>
      <c r="C31" s="13"/>
      <c r="D31" s="13"/>
      <c r="E31" s="13"/>
      <c r="F31" s="13"/>
      <c r="G31" s="13"/>
      <c r="H31" s="13"/>
      <c r="I31" s="13"/>
      <c r="J31" s="13"/>
      <c r="K31" s="13"/>
      <c r="L31" s="13"/>
      <c r="M31" s="13"/>
    </row>
    <row r="32" spans="1:13">
      <c r="A32" s="13" t="s">
        <v>138</v>
      </c>
      <c r="B32" s="13"/>
      <c r="C32" s="13"/>
      <c r="D32" s="13"/>
      <c r="E32" s="13"/>
      <c r="F32" s="13"/>
      <c r="G32" s="13"/>
      <c r="H32" s="13"/>
      <c r="I32" s="13"/>
      <c r="J32" s="13"/>
      <c r="K32" s="13"/>
      <c r="L32" s="13"/>
      <c r="M32" s="13"/>
    </row>
    <row r="33" spans="1:13">
      <c r="A33" s="13" t="s">
        <v>144</v>
      </c>
      <c r="B33" s="13"/>
      <c r="C33" s="13"/>
      <c r="D33" s="13"/>
      <c r="E33" s="13"/>
      <c r="F33" s="13"/>
      <c r="G33" s="13"/>
      <c r="H33" s="13"/>
      <c r="I33" s="13"/>
      <c r="J33" s="13"/>
      <c r="K33" s="13"/>
      <c r="L33" s="13"/>
      <c r="M33" s="13"/>
    </row>
    <row r="34" spans="1:13">
      <c r="A34" s="13" t="s">
        <v>172</v>
      </c>
      <c r="B34" s="13"/>
      <c r="C34" s="13"/>
      <c r="D34" s="13"/>
      <c r="E34" s="13"/>
      <c r="F34" s="13"/>
      <c r="G34" s="13"/>
      <c r="H34" s="13"/>
      <c r="I34" s="13"/>
      <c r="J34" s="13"/>
      <c r="K34" s="13"/>
      <c r="L34" s="13"/>
      <c r="M34" s="13"/>
    </row>
    <row r="35" spans="1:13">
      <c r="A35" s="13" t="s">
        <v>137</v>
      </c>
      <c r="B35" s="13"/>
      <c r="C35" s="13"/>
      <c r="D35" s="13"/>
      <c r="E35" s="13"/>
      <c r="F35" s="13"/>
      <c r="G35" s="13"/>
      <c r="H35" s="13"/>
      <c r="I35" s="13"/>
      <c r="J35" s="13"/>
      <c r="K35" s="13"/>
      <c r="L35" s="13"/>
      <c r="M35" s="13"/>
    </row>
    <row r="36" spans="1:13">
      <c r="A36" s="14" t="s">
        <v>166</v>
      </c>
      <c r="B36" s="13"/>
      <c r="C36" s="13"/>
      <c r="D36" s="13"/>
      <c r="E36" s="13"/>
      <c r="F36" s="13"/>
      <c r="G36" s="13"/>
      <c r="H36" s="13"/>
      <c r="I36" s="13"/>
      <c r="J36" s="13"/>
      <c r="K36" s="13"/>
      <c r="L36" s="13"/>
      <c r="M36" s="13"/>
    </row>
    <row r="37" spans="1:13">
      <c r="A37" s="13" t="s">
        <v>164</v>
      </c>
      <c r="B37" s="13"/>
      <c r="C37" s="13"/>
      <c r="D37" s="13"/>
      <c r="E37" s="13"/>
      <c r="F37" s="13"/>
      <c r="G37" s="13"/>
      <c r="H37" s="13"/>
      <c r="I37" s="13"/>
      <c r="J37" s="13"/>
      <c r="K37" s="13"/>
      <c r="L37" s="13"/>
      <c r="M37" s="13"/>
    </row>
    <row r="38" spans="1:13">
      <c r="A38" s="92" t="s">
        <v>171</v>
      </c>
      <c r="B38" s="13"/>
      <c r="C38" s="13"/>
      <c r="D38" s="13"/>
      <c r="E38" s="13"/>
      <c r="F38" s="13"/>
      <c r="G38" s="13"/>
      <c r="H38" s="13"/>
      <c r="I38" s="13"/>
      <c r="J38" s="13"/>
      <c r="K38" s="13"/>
      <c r="L38" s="13"/>
      <c r="M38" s="13"/>
    </row>
    <row r="39" spans="1:13">
      <c r="A39" s="13" t="s">
        <v>160</v>
      </c>
      <c r="B39" s="13"/>
      <c r="C39" s="13"/>
      <c r="D39" s="13"/>
      <c r="E39" s="13"/>
      <c r="F39" s="13"/>
      <c r="G39" s="13"/>
      <c r="H39" s="13"/>
      <c r="I39" s="13"/>
      <c r="J39" s="13"/>
      <c r="K39" s="13"/>
      <c r="L39" s="13"/>
      <c r="M39" s="13"/>
    </row>
    <row r="40" spans="1:13">
      <c r="A40" s="13" t="s">
        <v>147</v>
      </c>
      <c r="B40" s="13"/>
      <c r="C40" s="13"/>
      <c r="D40" s="13"/>
      <c r="E40" s="13"/>
      <c r="F40" s="13"/>
      <c r="G40" s="13"/>
      <c r="H40" s="13"/>
      <c r="I40" s="13"/>
      <c r="J40" s="13"/>
      <c r="K40" s="13"/>
      <c r="L40" s="13"/>
      <c r="M40" s="13"/>
    </row>
    <row r="41" spans="1:13">
      <c r="A41" s="13" t="s">
        <v>152</v>
      </c>
      <c r="B41" s="13"/>
      <c r="C41" s="13"/>
      <c r="D41" s="13"/>
      <c r="E41" s="13"/>
      <c r="F41" s="13"/>
      <c r="G41" s="13"/>
      <c r="H41" s="13"/>
      <c r="I41" s="13"/>
      <c r="J41" s="13"/>
      <c r="K41" s="13"/>
      <c r="L41" s="13"/>
      <c r="M41" s="13"/>
    </row>
    <row r="42" spans="1:13">
      <c r="A42" s="13" t="s">
        <v>170</v>
      </c>
      <c r="B42" s="13"/>
      <c r="C42" s="13"/>
      <c r="D42" s="13"/>
      <c r="E42" s="13"/>
      <c r="F42" s="13"/>
      <c r="G42" s="13"/>
      <c r="H42" s="13"/>
      <c r="I42" s="13"/>
      <c r="J42" s="13"/>
      <c r="K42" s="13"/>
      <c r="L42" s="13"/>
      <c r="M42" s="13"/>
    </row>
    <row r="43" spans="1:13">
      <c r="A43" s="13" t="s">
        <v>174</v>
      </c>
      <c r="B43" s="13"/>
      <c r="C43" s="13"/>
      <c r="D43" s="13"/>
      <c r="E43" s="13"/>
      <c r="F43" s="13"/>
      <c r="G43" s="13"/>
      <c r="H43" s="13"/>
      <c r="I43" s="13"/>
      <c r="J43" s="13"/>
      <c r="K43" s="13"/>
      <c r="L43" s="13"/>
      <c r="M43" s="13"/>
    </row>
    <row r="44" spans="1:13">
      <c r="A44" s="13" t="s">
        <v>169</v>
      </c>
      <c r="B44" s="13"/>
      <c r="C44" s="13"/>
      <c r="D44" s="13"/>
      <c r="E44" s="13"/>
      <c r="F44" s="13"/>
      <c r="G44" s="13"/>
      <c r="H44" s="13"/>
      <c r="I44" s="13"/>
      <c r="J44" s="13"/>
      <c r="K44" s="13"/>
      <c r="L44" s="13"/>
      <c r="M44" s="13"/>
    </row>
    <row r="45" spans="1:13">
      <c r="A45" s="13" t="s">
        <v>130</v>
      </c>
      <c r="B45" s="13"/>
      <c r="C45" s="13"/>
      <c r="D45" s="13"/>
      <c r="E45" s="13"/>
      <c r="F45" s="13"/>
      <c r="G45" s="13"/>
      <c r="H45" s="13"/>
      <c r="I45" s="13"/>
      <c r="J45" s="13"/>
      <c r="K45" s="13"/>
      <c r="L45" s="13"/>
      <c r="M45" s="13"/>
    </row>
    <row r="46" spans="1:13" ht="28.8">
      <c r="A46" s="14" t="s">
        <v>142</v>
      </c>
      <c r="B46" s="13"/>
      <c r="C46" s="13"/>
      <c r="D46" s="13"/>
      <c r="E46" s="13"/>
      <c r="F46" s="13"/>
      <c r="G46" s="13"/>
      <c r="H46" s="13"/>
      <c r="I46" s="13"/>
      <c r="J46" s="13"/>
      <c r="K46" s="13"/>
      <c r="L46" s="13"/>
      <c r="M46" s="13"/>
    </row>
    <row r="47" spans="1:13">
      <c r="A47" s="13" t="s">
        <v>146</v>
      </c>
      <c r="B47" s="13"/>
      <c r="C47" s="13"/>
      <c r="D47" s="13"/>
      <c r="E47" s="13"/>
      <c r="F47" s="13"/>
      <c r="G47" s="13"/>
      <c r="H47" s="13"/>
      <c r="I47" s="13"/>
      <c r="J47" s="13"/>
      <c r="K47" s="13"/>
      <c r="L47" s="13"/>
      <c r="M47" s="13"/>
    </row>
    <row r="48" spans="1:13">
      <c r="A48" s="13" t="s">
        <v>131</v>
      </c>
      <c r="B48" s="13"/>
      <c r="C48" s="13"/>
      <c r="D48" s="13"/>
      <c r="E48" s="13"/>
      <c r="F48" s="13"/>
      <c r="G48" s="13"/>
      <c r="H48" s="13"/>
      <c r="I48" s="13"/>
      <c r="J48" s="13"/>
      <c r="K48" s="13"/>
      <c r="L48" s="13"/>
      <c r="M48" s="13"/>
    </row>
    <row r="49" spans="1:13">
      <c r="A49" s="13" t="s">
        <v>159</v>
      </c>
      <c r="B49" s="13"/>
      <c r="C49" s="13"/>
      <c r="D49" s="13"/>
      <c r="E49" s="13"/>
      <c r="F49" s="13"/>
      <c r="G49" s="13"/>
      <c r="H49" s="13"/>
      <c r="I49" s="13"/>
      <c r="J49" s="13"/>
      <c r="K49" s="13"/>
      <c r="L49" s="13"/>
      <c r="M49" s="13"/>
    </row>
    <row r="50" spans="1:13">
      <c r="A50" s="13" t="s">
        <v>132</v>
      </c>
      <c r="B50" s="13"/>
      <c r="C50" s="13"/>
      <c r="D50" s="13"/>
      <c r="E50" s="13"/>
      <c r="F50" s="13"/>
      <c r="G50" s="13"/>
      <c r="H50" s="13"/>
      <c r="I50" s="13"/>
      <c r="J50" s="13"/>
      <c r="K50" s="13"/>
      <c r="L50" s="13"/>
      <c r="M50" s="13"/>
    </row>
    <row r="51" spans="1:13">
      <c r="A51" s="14" t="s">
        <v>139</v>
      </c>
      <c r="B51" s="13"/>
      <c r="C51" s="13"/>
      <c r="D51" s="13"/>
      <c r="E51" s="13"/>
      <c r="F51" s="13"/>
      <c r="G51" s="13"/>
      <c r="H51" s="13"/>
      <c r="I51" s="13"/>
      <c r="J51" s="13"/>
      <c r="K51" s="13"/>
      <c r="L51" s="13"/>
      <c r="M51" s="13"/>
    </row>
    <row r="52" spans="1:13">
      <c r="A52" s="13" t="s">
        <v>143</v>
      </c>
      <c r="B52" s="13"/>
      <c r="C52" s="13"/>
      <c r="D52" s="13"/>
      <c r="E52" s="13"/>
      <c r="F52" s="13"/>
      <c r="G52" s="13"/>
      <c r="H52" s="13"/>
      <c r="I52" s="13"/>
      <c r="J52" s="13"/>
      <c r="K52" s="13"/>
      <c r="L52" s="13"/>
      <c r="M52" s="13"/>
    </row>
    <row r="53" spans="1:13">
      <c r="A53" s="13" t="s">
        <v>167</v>
      </c>
      <c r="B53" s="13"/>
      <c r="C53" s="13"/>
      <c r="D53" s="13"/>
      <c r="E53" s="13"/>
      <c r="F53" s="13"/>
      <c r="G53" s="13"/>
      <c r="H53" s="13"/>
      <c r="I53" s="13"/>
      <c r="J53" s="13"/>
      <c r="K53" s="13"/>
      <c r="L53" s="13"/>
      <c r="M53" s="13"/>
    </row>
    <row r="54" spans="1:13">
      <c r="A54" s="13" t="s">
        <v>153</v>
      </c>
      <c r="B54" s="13"/>
      <c r="C54" s="13"/>
      <c r="D54" s="13"/>
      <c r="E54" s="13"/>
      <c r="F54" s="13"/>
      <c r="G54" s="13"/>
      <c r="H54" s="13"/>
      <c r="I54" s="13"/>
      <c r="J54" s="13"/>
      <c r="K54" s="13"/>
      <c r="L54" s="13"/>
      <c r="M54" s="13"/>
    </row>
    <row r="55" spans="1:13">
      <c r="A55" s="13" t="s">
        <v>133</v>
      </c>
      <c r="B55" s="13"/>
      <c r="C55" s="13"/>
      <c r="D55" s="13"/>
      <c r="E55" s="13"/>
      <c r="F55" s="13"/>
      <c r="G55" s="13"/>
      <c r="H55" s="13"/>
      <c r="I55" s="13"/>
      <c r="J55" s="13"/>
      <c r="K55" s="13"/>
      <c r="L55" s="13"/>
      <c r="M55" s="13"/>
    </row>
    <row r="56" spans="1:13">
      <c r="A56" s="14" t="s">
        <v>165</v>
      </c>
      <c r="B56" s="13"/>
      <c r="C56" s="13"/>
      <c r="D56" s="13"/>
      <c r="E56" s="13"/>
      <c r="F56" s="13"/>
      <c r="G56" s="13"/>
      <c r="H56" s="13"/>
      <c r="I56" s="13"/>
      <c r="J56" s="13"/>
      <c r="K56" s="13"/>
      <c r="L56" s="13"/>
      <c r="M56" s="13"/>
    </row>
    <row r="57" spans="1:13">
      <c r="A57" s="13" t="s">
        <v>135</v>
      </c>
      <c r="B57" s="13"/>
      <c r="C57" s="13"/>
      <c r="D57" s="13"/>
      <c r="E57" s="13"/>
      <c r="F57" s="13"/>
      <c r="G57" s="13"/>
      <c r="H57" s="13"/>
      <c r="I57" s="13"/>
      <c r="J57" s="13"/>
      <c r="K57" s="13"/>
      <c r="L57" s="13"/>
      <c r="M57" s="13"/>
    </row>
    <row r="58" spans="1:13">
      <c r="A58" s="13" t="s">
        <v>158</v>
      </c>
      <c r="B58" s="13"/>
      <c r="C58" s="13"/>
      <c r="D58" s="13"/>
      <c r="E58" s="13"/>
      <c r="F58" s="13"/>
      <c r="G58" s="13"/>
      <c r="H58" s="13"/>
      <c r="I58" s="13"/>
      <c r="J58" s="13"/>
      <c r="K58" s="13"/>
      <c r="L58" s="13"/>
      <c r="M58" s="13"/>
    </row>
    <row r="59" spans="1:13">
      <c r="A59" s="13" t="s">
        <v>151</v>
      </c>
      <c r="B59" s="13"/>
      <c r="C59" s="13"/>
      <c r="D59" s="13"/>
      <c r="E59" s="13"/>
      <c r="F59" s="13"/>
      <c r="G59" s="13"/>
      <c r="H59" s="13"/>
      <c r="I59" s="13"/>
      <c r="J59" s="13"/>
      <c r="K59" s="13"/>
      <c r="L59" s="13"/>
      <c r="M59" s="13"/>
    </row>
    <row r="60" spans="1:13">
      <c r="A60" s="13" t="s">
        <v>141</v>
      </c>
      <c r="B60" s="13"/>
      <c r="C60" s="13"/>
      <c r="D60" s="13"/>
      <c r="E60" s="13"/>
      <c r="F60" s="13"/>
      <c r="G60" s="13"/>
      <c r="H60" s="13"/>
      <c r="I60" s="13"/>
      <c r="J60" s="13"/>
      <c r="K60" s="13"/>
      <c r="L60" s="13"/>
      <c r="M60" s="13"/>
    </row>
    <row r="61" spans="1:13">
      <c r="A61" s="13" t="s">
        <v>129</v>
      </c>
      <c r="B61" s="13"/>
      <c r="C61" s="13"/>
      <c r="D61" s="13"/>
      <c r="E61" s="13"/>
      <c r="F61" s="13"/>
      <c r="G61" s="13"/>
      <c r="H61" s="13"/>
      <c r="I61" s="13"/>
      <c r="J61" s="13"/>
      <c r="K61" s="13"/>
      <c r="L61" s="13"/>
      <c r="M61" s="13"/>
    </row>
    <row r="62" spans="1:13">
      <c r="A62" s="13" t="s">
        <v>54</v>
      </c>
      <c r="B62" s="13"/>
      <c r="C62" s="13"/>
      <c r="D62" s="13"/>
      <c r="E62" s="13"/>
      <c r="F62" s="13"/>
      <c r="G62" s="13"/>
      <c r="H62" s="13"/>
      <c r="I62" s="13"/>
      <c r="J62" s="13"/>
      <c r="K62" s="13"/>
      <c r="L62" s="13"/>
      <c r="M62" s="13"/>
    </row>
    <row r="63" spans="1:13" ht="72">
      <c r="A63" s="13" t="s">
        <v>97</v>
      </c>
      <c r="B63" s="13" t="s">
        <v>98</v>
      </c>
      <c r="C63" s="13"/>
      <c r="D63" s="13" t="s">
        <v>90</v>
      </c>
      <c r="E63" s="13"/>
      <c r="F63" s="13"/>
      <c r="G63" s="13"/>
      <c r="H63" s="13"/>
      <c r="I63" s="13"/>
      <c r="J63" s="13"/>
      <c r="K63" s="13"/>
      <c r="L63" s="14" t="s">
        <v>99</v>
      </c>
      <c r="M63" s="13"/>
    </row>
    <row r="64" spans="1:13">
      <c r="A64" s="13" t="s">
        <v>173</v>
      </c>
      <c r="B64" s="13"/>
      <c r="C64" s="13"/>
      <c r="D64" s="13"/>
      <c r="E64" s="13"/>
      <c r="F64" s="13"/>
      <c r="G64" s="13"/>
      <c r="H64" s="13"/>
      <c r="I64" s="13"/>
      <c r="J64" s="13"/>
      <c r="K64" s="13"/>
      <c r="L64" s="13"/>
      <c r="M64" s="13"/>
    </row>
    <row r="65" spans="1:13">
      <c r="A65" s="13" t="s">
        <v>134</v>
      </c>
      <c r="B65" s="13"/>
      <c r="C65" s="13"/>
      <c r="D65" s="13"/>
      <c r="E65" s="13"/>
      <c r="F65" s="13"/>
      <c r="G65" s="13"/>
      <c r="H65" s="13"/>
      <c r="I65" s="13"/>
      <c r="J65" s="13"/>
      <c r="K65" s="13"/>
      <c r="L65" s="13"/>
      <c r="M65" s="13"/>
    </row>
    <row r="66" spans="1:13">
      <c r="A66" s="13" t="s">
        <v>136</v>
      </c>
      <c r="B66" s="13"/>
      <c r="C66" s="13"/>
      <c r="D66" s="13"/>
      <c r="E66" s="13"/>
      <c r="F66" s="13"/>
      <c r="G66" s="13"/>
      <c r="H66" s="13"/>
      <c r="I66" s="13"/>
      <c r="J66" s="13"/>
      <c r="K66" s="13"/>
      <c r="L66" s="13"/>
      <c r="M66" s="13"/>
    </row>
    <row r="67" spans="1:13">
      <c r="A67" s="13" t="s">
        <v>175</v>
      </c>
      <c r="B67" s="13"/>
      <c r="C67" s="13"/>
      <c r="D67" s="13"/>
      <c r="E67" s="13"/>
      <c r="F67" s="13"/>
      <c r="G67" s="13"/>
      <c r="H67" s="13"/>
      <c r="I67" s="13"/>
      <c r="J67" s="13"/>
      <c r="K67" s="13"/>
      <c r="L67" s="13"/>
      <c r="M67" s="13"/>
    </row>
    <row r="68" spans="1:13">
      <c r="A68" s="18" t="s">
        <v>140</v>
      </c>
      <c r="B68" s="18"/>
      <c r="C68" s="18"/>
      <c r="D68" s="18"/>
      <c r="E68" s="18"/>
      <c r="F68" s="18"/>
      <c r="G68" s="18"/>
      <c r="H68" s="18"/>
      <c r="I68" s="18"/>
      <c r="J68" s="18"/>
      <c r="K68" s="18"/>
      <c r="L68" s="18"/>
      <c r="M68" s="18"/>
    </row>
    <row r="69" spans="1:13">
      <c r="A69" s="18" t="s">
        <v>668</v>
      </c>
      <c r="B69" s="18"/>
      <c r="C69" s="18"/>
      <c r="D69" s="18"/>
      <c r="E69" s="18"/>
      <c r="F69" s="18"/>
      <c r="G69" s="18"/>
      <c r="H69" s="18"/>
      <c r="I69" s="18"/>
      <c r="J69" s="18"/>
      <c r="K69" s="18"/>
      <c r="L69" s="18"/>
      <c r="M69" s="18"/>
    </row>
    <row r="70" spans="1:13">
      <c r="A70" s="18" t="s">
        <v>615</v>
      </c>
      <c r="B70" s="18"/>
      <c r="C70" s="18"/>
      <c r="D70" s="18"/>
      <c r="E70" s="18"/>
      <c r="F70" s="18"/>
      <c r="G70" s="18"/>
      <c r="H70" s="18"/>
      <c r="I70" s="18"/>
      <c r="J70" s="18"/>
      <c r="K70" s="18"/>
      <c r="L70" s="18"/>
      <c r="M70" s="18"/>
    </row>
    <row r="71" spans="1:13">
      <c r="A71" s="18" t="s">
        <v>408</v>
      </c>
      <c r="B71" s="18"/>
      <c r="C71" s="18"/>
      <c r="D71" s="18"/>
      <c r="E71" s="18"/>
      <c r="F71" s="18"/>
      <c r="G71" s="18"/>
      <c r="H71" s="18"/>
      <c r="I71" s="18"/>
      <c r="J71" s="18"/>
      <c r="K71" s="18"/>
      <c r="L71" s="18"/>
      <c r="M71" s="18"/>
    </row>
    <row r="72" spans="1:13">
      <c r="A72" s="6" t="s">
        <v>426</v>
      </c>
      <c r="B72" s="18"/>
      <c r="C72" s="18"/>
      <c r="D72" s="18"/>
      <c r="E72" s="18"/>
      <c r="F72" s="18"/>
      <c r="G72" s="18"/>
      <c r="H72" s="18"/>
      <c r="I72" s="18"/>
      <c r="J72" s="18"/>
      <c r="K72" s="18"/>
      <c r="L72" s="18"/>
      <c r="M72" s="18"/>
    </row>
    <row r="73" spans="1:13">
      <c r="A73" s="6" t="s">
        <v>446</v>
      </c>
      <c r="B73" s="18"/>
      <c r="C73" s="18"/>
      <c r="D73" s="18"/>
      <c r="E73" s="18"/>
      <c r="F73" s="18"/>
      <c r="G73" s="18"/>
      <c r="H73" s="18"/>
      <c r="I73" s="18"/>
      <c r="J73" s="18"/>
      <c r="K73" s="18"/>
      <c r="L73" s="18"/>
      <c r="M73" s="18"/>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sheetPr codeName="Sayfa4"/>
  <dimension ref="A1:L100"/>
  <sheetViews>
    <sheetView topLeftCell="A80" zoomScale="90" zoomScaleNormal="90" workbookViewId="0">
      <selection activeCell="B97" sqref="B97:L98"/>
    </sheetView>
  </sheetViews>
  <sheetFormatPr defaultRowHeight="14.4"/>
  <cols>
    <col min="1" max="1" width="18" customWidth="1"/>
    <col min="2" max="2" width="21" customWidth="1"/>
    <col min="3" max="3" width="31.44140625" customWidth="1"/>
    <col min="4" max="4" width="24.33203125" customWidth="1"/>
    <col min="5" max="6" width="20.88671875" customWidth="1"/>
    <col min="7" max="7" width="25.6640625" customWidth="1"/>
    <col min="8" max="8" width="21.6640625" bestFit="1" customWidth="1"/>
    <col min="9" max="9" width="28.33203125" customWidth="1"/>
    <col min="10" max="11" width="21.5546875" customWidth="1"/>
    <col min="12" max="12" width="18.109375" customWidth="1"/>
    <col min="13" max="13" width="12" bestFit="1" customWidth="1"/>
  </cols>
  <sheetData>
    <row r="1" spans="1:12" ht="15" thickBot="1">
      <c r="A1" s="20" t="s">
        <v>36</v>
      </c>
      <c r="B1" s="20" t="s">
        <v>25</v>
      </c>
      <c r="C1" s="20" t="s">
        <v>26</v>
      </c>
      <c r="D1" s="20" t="s">
        <v>27</v>
      </c>
      <c r="E1" s="20" t="s">
        <v>28</v>
      </c>
      <c r="F1" s="20" t="s">
        <v>29</v>
      </c>
      <c r="G1" s="20" t="s">
        <v>30</v>
      </c>
      <c r="H1" s="20" t="s">
        <v>31</v>
      </c>
      <c r="I1" s="20" t="s">
        <v>32</v>
      </c>
      <c r="J1" s="20" t="s">
        <v>33</v>
      </c>
      <c r="K1" s="20" t="s">
        <v>185</v>
      </c>
      <c r="L1" s="20" t="s">
        <v>34</v>
      </c>
    </row>
    <row r="2" spans="1:12" ht="15" thickTop="1">
      <c r="A2" t="s">
        <v>426</v>
      </c>
      <c r="B2" s="17"/>
      <c r="C2" s="60"/>
      <c r="D2" s="60"/>
      <c r="E2" s="60"/>
      <c r="F2" s="60"/>
      <c r="G2" s="60"/>
      <c r="H2" s="60"/>
      <c r="I2" s="60"/>
      <c r="J2" s="60"/>
      <c r="K2" s="60"/>
      <c r="L2" s="60" t="s">
        <v>646</v>
      </c>
    </row>
    <row r="3" spans="1:12">
      <c r="A3" t="s">
        <v>150</v>
      </c>
      <c r="B3" s="17"/>
      <c r="C3" s="60">
        <v>929529</v>
      </c>
      <c r="D3" s="60" t="s">
        <v>667</v>
      </c>
      <c r="E3" s="60">
        <v>1111</v>
      </c>
      <c r="F3" s="60"/>
      <c r="G3" s="60"/>
      <c r="H3" s="60"/>
      <c r="I3" s="60"/>
      <c r="J3" s="60"/>
      <c r="K3" s="60"/>
      <c r="L3" s="60"/>
    </row>
    <row r="4" spans="1:12">
      <c r="A4" t="s">
        <v>66</v>
      </c>
      <c r="B4" s="17"/>
      <c r="C4" t="s">
        <v>90</v>
      </c>
      <c r="D4">
        <v>1</v>
      </c>
      <c r="E4">
        <v>350</v>
      </c>
      <c r="F4" t="s">
        <v>176</v>
      </c>
      <c r="G4" s="73">
        <v>1900</v>
      </c>
      <c r="H4">
        <v>1</v>
      </c>
      <c r="I4" s="73">
        <v>2250</v>
      </c>
    </row>
    <row r="5" spans="1:12">
      <c r="A5" t="s">
        <v>66</v>
      </c>
      <c r="B5" s="17"/>
      <c r="C5" s="60"/>
      <c r="D5" s="60"/>
      <c r="E5" s="60"/>
      <c r="F5" s="60"/>
      <c r="G5" s="60"/>
      <c r="H5" s="60"/>
      <c r="I5" s="60"/>
      <c r="J5" s="60"/>
      <c r="K5" s="60"/>
      <c r="L5" s="60" t="s">
        <v>645</v>
      </c>
    </row>
    <row r="6" spans="1:12">
      <c r="A6" t="s">
        <v>163</v>
      </c>
      <c r="B6" s="17"/>
      <c r="C6" s="60"/>
      <c r="D6" s="60"/>
      <c r="E6" s="60"/>
      <c r="F6" s="60"/>
      <c r="G6" s="60"/>
      <c r="H6" s="60"/>
      <c r="I6" s="60"/>
      <c r="J6" s="60"/>
      <c r="K6" s="60"/>
      <c r="L6" s="60" t="s">
        <v>646</v>
      </c>
    </row>
    <row r="7" spans="1:12">
      <c r="A7" t="s">
        <v>495</v>
      </c>
      <c r="B7" s="17"/>
      <c r="L7" t="s">
        <v>645</v>
      </c>
    </row>
    <row r="8" spans="1:12">
      <c r="A8" s="61" t="s">
        <v>118</v>
      </c>
      <c r="B8" s="62"/>
      <c r="C8" s="61"/>
      <c r="D8" s="61"/>
      <c r="E8" s="61"/>
      <c r="F8" s="61"/>
      <c r="G8" s="61"/>
      <c r="H8" s="61"/>
      <c r="I8" s="61"/>
      <c r="J8" s="61"/>
      <c r="K8" s="61"/>
      <c r="L8" s="61"/>
    </row>
    <row r="9" spans="1:12">
      <c r="A9" s="61" t="s">
        <v>88</v>
      </c>
      <c r="B9" s="62">
        <v>42450</v>
      </c>
      <c r="C9" s="61" t="s">
        <v>648</v>
      </c>
      <c r="D9" s="61">
        <v>1</v>
      </c>
      <c r="E9" s="61"/>
      <c r="F9" s="61"/>
      <c r="G9" s="61" t="s">
        <v>649</v>
      </c>
      <c r="H9" s="61" t="s">
        <v>650</v>
      </c>
      <c r="I9" s="61"/>
      <c r="J9" s="61"/>
      <c r="K9" s="61"/>
      <c r="L9" s="61"/>
    </row>
    <row r="10" spans="1:12">
      <c r="A10" t="s">
        <v>69</v>
      </c>
      <c r="B10" s="17">
        <v>42720</v>
      </c>
    </row>
    <row r="11" spans="1:12">
      <c r="A11" t="s">
        <v>69</v>
      </c>
      <c r="B11" s="17">
        <v>40528</v>
      </c>
      <c r="L11" t="s">
        <v>645</v>
      </c>
    </row>
    <row r="12" spans="1:12">
      <c r="A12" t="s">
        <v>69</v>
      </c>
      <c r="B12" s="17">
        <v>40163</v>
      </c>
      <c r="L12" t="s">
        <v>645</v>
      </c>
    </row>
    <row r="13" spans="1:12">
      <c r="A13" s="61" t="s">
        <v>69</v>
      </c>
      <c r="B13" s="62"/>
      <c r="C13" s="61"/>
      <c r="D13" s="61"/>
      <c r="E13" s="61"/>
      <c r="F13" s="61"/>
      <c r="G13" s="61"/>
      <c r="H13" s="61"/>
      <c r="I13" s="61"/>
      <c r="J13" s="61"/>
      <c r="K13" s="61"/>
      <c r="L13" s="61"/>
    </row>
    <row r="14" spans="1:12">
      <c r="A14" s="61" t="s">
        <v>111</v>
      </c>
      <c r="B14" s="62">
        <v>42488</v>
      </c>
      <c r="C14" s="61" t="s">
        <v>648</v>
      </c>
      <c r="D14" s="61">
        <v>1</v>
      </c>
      <c r="E14" s="61">
        <v>2100</v>
      </c>
      <c r="F14" s="61" t="s">
        <v>653</v>
      </c>
      <c r="G14" s="61" t="s">
        <v>651</v>
      </c>
      <c r="H14" s="61" t="s">
        <v>652</v>
      </c>
      <c r="I14" s="61"/>
      <c r="J14" s="61"/>
      <c r="K14" s="61"/>
      <c r="L14" s="61"/>
    </row>
    <row r="15" spans="1:12">
      <c r="A15" s="61" t="s">
        <v>83</v>
      </c>
      <c r="B15" s="62">
        <v>42499</v>
      </c>
      <c r="C15" s="61" t="s">
        <v>657</v>
      </c>
      <c r="D15" s="61">
        <v>1</v>
      </c>
      <c r="E15" s="61"/>
      <c r="F15" s="61"/>
      <c r="G15" s="61" t="s">
        <v>658</v>
      </c>
      <c r="H15" s="61"/>
      <c r="I15" s="61"/>
      <c r="J15" s="61"/>
      <c r="K15" s="61"/>
      <c r="L15" s="61"/>
    </row>
    <row r="16" spans="1:12">
      <c r="A16" s="61" t="s">
        <v>83</v>
      </c>
      <c r="B16" s="74">
        <v>42465</v>
      </c>
      <c r="C16" s="61" t="s">
        <v>656</v>
      </c>
      <c r="D16" s="61">
        <v>1</v>
      </c>
      <c r="E16" s="61">
        <v>1100</v>
      </c>
      <c r="F16" s="61" t="s">
        <v>653</v>
      </c>
      <c r="G16" s="61" t="s">
        <v>654</v>
      </c>
      <c r="H16" s="61" t="s">
        <v>655</v>
      </c>
      <c r="I16" s="61"/>
      <c r="J16" s="61"/>
      <c r="K16" s="61"/>
      <c r="L16" s="61"/>
    </row>
    <row r="17" spans="1:12">
      <c r="A17" s="61" t="s">
        <v>155</v>
      </c>
      <c r="B17" s="62"/>
      <c r="C17" s="61"/>
      <c r="D17" s="61"/>
      <c r="E17" s="61"/>
      <c r="F17" s="61"/>
      <c r="G17" s="61"/>
      <c r="H17" s="61"/>
      <c r="I17" s="61"/>
      <c r="J17" s="61"/>
      <c r="K17" s="61"/>
      <c r="L17" s="61"/>
    </row>
    <row r="18" spans="1:12">
      <c r="A18" s="61" t="s">
        <v>161</v>
      </c>
      <c r="B18" s="62"/>
      <c r="C18" s="61"/>
      <c r="D18" s="61"/>
      <c r="E18" s="61"/>
      <c r="F18" s="61"/>
      <c r="G18" s="61"/>
      <c r="H18" s="61"/>
      <c r="I18" s="61"/>
      <c r="J18" s="61"/>
      <c r="K18" s="61"/>
      <c r="L18" s="61"/>
    </row>
    <row r="19" spans="1:12">
      <c r="A19" s="60" t="s">
        <v>45</v>
      </c>
      <c r="B19" s="81">
        <v>44197</v>
      </c>
      <c r="C19" s="60"/>
      <c r="D19" s="60"/>
      <c r="E19" s="60"/>
      <c r="F19" s="60"/>
      <c r="G19" s="60"/>
      <c r="H19" s="60"/>
      <c r="I19" s="60"/>
      <c r="J19" s="60"/>
      <c r="K19" s="60"/>
      <c r="L19" s="60"/>
    </row>
    <row r="20" spans="1:12">
      <c r="A20" s="61" t="s">
        <v>45</v>
      </c>
      <c r="B20" s="62"/>
      <c r="C20" s="61"/>
      <c r="D20" s="61"/>
      <c r="E20" s="61"/>
      <c r="F20" s="61"/>
      <c r="G20" s="61"/>
      <c r="H20" s="61"/>
      <c r="I20" s="61"/>
      <c r="J20" s="61"/>
      <c r="K20" s="61"/>
      <c r="L20" s="61"/>
    </row>
    <row r="21" spans="1:12">
      <c r="A21" s="61" t="s">
        <v>157</v>
      </c>
      <c r="B21" s="62"/>
      <c r="C21" s="61"/>
      <c r="D21" s="61"/>
      <c r="E21" s="61"/>
      <c r="F21" s="61"/>
      <c r="G21" s="61"/>
      <c r="H21" s="61"/>
      <c r="I21" s="61"/>
      <c r="J21" s="61"/>
      <c r="K21" s="61"/>
      <c r="L21" s="61"/>
    </row>
    <row r="22" spans="1:12">
      <c r="A22" s="61" t="s">
        <v>149</v>
      </c>
      <c r="B22" s="62"/>
      <c r="C22" s="61"/>
      <c r="D22" s="61"/>
      <c r="E22" s="61"/>
      <c r="F22" s="61"/>
      <c r="G22" s="61"/>
      <c r="H22" s="61"/>
      <c r="I22" s="61"/>
      <c r="J22" s="61"/>
      <c r="K22" s="61"/>
      <c r="L22" s="61"/>
    </row>
    <row r="23" spans="1:12">
      <c r="A23" s="61" t="s">
        <v>156</v>
      </c>
      <c r="B23" s="62"/>
      <c r="C23" s="61"/>
      <c r="D23" s="61"/>
      <c r="E23" s="61"/>
      <c r="F23" s="61"/>
      <c r="G23" s="61"/>
      <c r="H23" s="61"/>
      <c r="I23" s="61"/>
      <c r="J23" s="61"/>
      <c r="K23" s="61"/>
      <c r="L23" s="61"/>
    </row>
    <row r="24" spans="1:12">
      <c r="A24" s="61" t="s">
        <v>467</v>
      </c>
      <c r="B24" s="62"/>
      <c r="C24" s="61"/>
      <c r="D24" s="61"/>
      <c r="E24" s="61"/>
      <c r="F24" s="61"/>
      <c r="G24" s="61"/>
      <c r="H24" s="61"/>
      <c r="I24" s="61"/>
      <c r="J24" s="61"/>
      <c r="K24" s="61"/>
      <c r="L24" s="61"/>
    </row>
    <row r="25" spans="1:12">
      <c r="A25" s="61" t="s">
        <v>145</v>
      </c>
      <c r="B25" s="74"/>
      <c r="C25" s="61"/>
      <c r="D25" s="61"/>
      <c r="E25" s="61"/>
      <c r="F25" s="61"/>
      <c r="G25" s="61"/>
      <c r="H25" s="61"/>
      <c r="I25" s="61"/>
      <c r="J25" s="61"/>
      <c r="K25" s="61"/>
      <c r="L25" s="61"/>
    </row>
    <row r="26" spans="1:12">
      <c r="A26" s="61" t="s">
        <v>168</v>
      </c>
      <c r="B26" s="62">
        <v>42494</v>
      </c>
      <c r="C26" s="61" t="s">
        <v>657</v>
      </c>
      <c r="D26" s="61">
        <v>1</v>
      </c>
      <c r="E26" s="61">
        <v>1050</v>
      </c>
      <c r="F26" s="61"/>
      <c r="G26" s="61"/>
      <c r="H26" s="61"/>
      <c r="I26" s="61" t="s">
        <v>659</v>
      </c>
      <c r="J26" s="61"/>
      <c r="K26" s="61"/>
      <c r="L26" s="61"/>
    </row>
    <row r="27" spans="1:12">
      <c r="A27" s="61" t="s">
        <v>154</v>
      </c>
      <c r="B27" s="62"/>
      <c r="C27" s="61"/>
      <c r="D27" s="61"/>
      <c r="E27" s="61"/>
      <c r="F27" s="61"/>
      <c r="G27" s="61"/>
      <c r="H27" s="61"/>
      <c r="I27" s="61"/>
      <c r="J27" s="61"/>
      <c r="K27" s="61"/>
      <c r="L27" s="61"/>
    </row>
    <row r="28" spans="1:12">
      <c r="A28" s="61" t="s">
        <v>162</v>
      </c>
      <c r="B28" s="62"/>
      <c r="C28" s="61"/>
      <c r="D28" s="61"/>
      <c r="E28" s="61"/>
      <c r="F28" s="61"/>
      <c r="G28" s="61"/>
      <c r="H28" s="61"/>
      <c r="I28" s="61"/>
      <c r="J28" s="61"/>
      <c r="K28" s="61"/>
      <c r="L28" s="61"/>
    </row>
    <row r="29" spans="1:12">
      <c r="A29" s="61" t="s">
        <v>138</v>
      </c>
      <c r="B29" s="74"/>
      <c r="C29" s="61"/>
      <c r="D29" s="61"/>
      <c r="E29" s="61"/>
      <c r="F29" s="61"/>
      <c r="G29" s="61"/>
      <c r="H29" s="61"/>
      <c r="I29" s="61"/>
      <c r="J29" s="61"/>
      <c r="K29" s="61"/>
      <c r="L29" s="61"/>
    </row>
    <row r="30" spans="1:12">
      <c r="A30" t="s">
        <v>187</v>
      </c>
      <c r="B30" s="17">
        <v>42396</v>
      </c>
      <c r="C30" t="s">
        <v>188</v>
      </c>
      <c r="D30">
        <v>4</v>
      </c>
      <c r="E30">
        <v>5000</v>
      </c>
    </row>
    <row r="31" spans="1:12">
      <c r="A31" s="61" t="s">
        <v>187</v>
      </c>
      <c r="B31" s="62"/>
      <c r="C31" s="61"/>
      <c r="D31" s="61"/>
      <c r="E31" s="61"/>
      <c r="F31" s="61"/>
      <c r="G31" s="61"/>
      <c r="H31" s="61"/>
      <c r="I31" s="61"/>
      <c r="J31" s="61"/>
      <c r="K31" s="61"/>
      <c r="L31" s="61"/>
    </row>
    <row r="32" spans="1:12">
      <c r="A32" s="61" t="s">
        <v>144</v>
      </c>
      <c r="B32" s="62"/>
      <c r="C32" s="61"/>
      <c r="D32" s="61"/>
      <c r="E32" s="61"/>
      <c r="F32" s="61"/>
      <c r="G32" s="61"/>
      <c r="H32" s="61"/>
      <c r="I32" s="61"/>
      <c r="J32" s="61"/>
      <c r="K32" s="61"/>
      <c r="L32" s="61"/>
    </row>
    <row r="33" spans="1:12">
      <c r="A33" s="61" t="s">
        <v>172</v>
      </c>
      <c r="B33" s="62"/>
      <c r="C33" s="61"/>
      <c r="D33" s="61"/>
      <c r="E33" s="61"/>
      <c r="F33" s="61"/>
      <c r="G33" s="61"/>
      <c r="H33" s="61"/>
      <c r="I33" s="61"/>
      <c r="J33" s="61"/>
      <c r="K33" s="61"/>
      <c r="L33" s="61"/>
    </row>
    <row r="34" spans="1:12">
      <c r="A34" s="61" t="s">
        <v>137</v>
      </c>
      <c r="B34" s="62"/>
      <c r="C34" s="61"/>
      <c r="D34" s="61"/>
      <c r="E34" s="61"/>
      <c r="F34" s="61"/>
      <c r="G34" s="61"/>
      <c r="H34" s="61"/>
      <c r="I34" s="61"/>
      <c r="J34" s="61"/>
      <c r="K34" s="61"/>
      <c r="L34" s="61"/>
    </row>
    <row r="35" spans="1:12">
      <c r="A35" s="61" t="s">
        <v>636</v>
      </c>
      <c r="B35" s="62"/>
      <c r="C35" s="61"/>
      <c r="D35" s="61"/>
      <c r="E35" s="61"/>
      <c r="F35" s="61"/>
      <c r="G35" s="61"/>
      <c r="H35" s="61"/>
      <c r="I35" s="61"/>
      <c r="J35" s="61"/>
      <c r="K35" s="61"/>
      <c r="L35" s="61"/>
    </row>
    <row r="36" spans="1:12">
      <c r="A36" s="61" t="s">
        <v>353</v>
      </c>
      <c r="B36" s="62"/>
      <c r="C36" s="61"/>
      <c r="D36" s="61"/>
      <c r="E36" s="61"/>
      <c r="F36" s="61"/>
      <c r="G36" s="61"/>
      <c r="H36" s="61"/>
      <c r="I36" s="61"/>
      <c r="J36" s="61"/>
      <c r="K36" s="61"/>
      <c r="L36" s="61"/>
    </row>
    <row r="37" spans="1:12">
      <c r="A37" s="61" t="s">
        <v>548</v>
      </c>
      <c r="B37" s="62"/>
      <c r="C37" s="61"/>
      <c r="D37" s="61"/>
      <c r="E37" s="61"/>
      <c r="F37" s="61"/>
      <c r="G37" s="61"/>
      <c r="H37" s="61"/>
      <c r="I37" s="61"/>
      <c r="J37" s="61"/>
      <c r="K37" s="61"/>
      <c r="L37" s="61"/>
    </row>
    <row r="38" spans="1:12">
      <c r="A38" s="61" t="s">
        <v>471</v>
      </c>
      <c r="B38" s="62"/>
      <c r="C38" s="61"/>
      <c r="D38" s="61"/>
      <c r="E38" s="61"/>
      <c r="F38" s="61"/>
      <c r="G38" s="61"/>
      <c r="H38" s="61"/>
      <c r="I38" s="61"/>
      <c r="J38" s="61"/>
      <c r="K38" s="61"/>
      <c r="L38" s="61"/>
    </row>
    <row r="39" spans="1:12">
      <c r="A39" s="61" t="s">
        <v>164</v>
      </c>
      <c r="B39" s="62"/>
      <c r="C39" s="61"/>
      <c r="D39" s="61"/>
      <c r="E39" s="61"/>
      <c r="F39" s="61"/>
      <c r="G39" s="61"/>
      <c r="H39" s="61"/>
      <c r="I39" s="61"/>
      <c r="J39" s="61"/>
      <c r="K39" s="61"/>
      <c r="L39" s="61"/>
    </row>
    <row r="40" spans="1:12">
      <c r="A40" s="61" t="s">
        <v>93</v>
      </c>
      <c r="B40" s="62">
        <v>42507</v>
      </c>
      <c r="C40" s="61" t="s">
        <v>17</v>
      </c>
      <c r="D40" s="61" t="s">
        <v>660</v>
      </c>
      <c r="E40" s="61"/>
      <c r="F40" s="61"/>
      <c r="G40" s="61" t="s">
        <v>661</v>
      </c>
      <c r="H40" s="61" t="s">
        <v>662</v>
      </c>
      <c r="I40" s="61"/>
      <c r="J40" s="61"/>
      <c r="K40" s="61"/>
      <c r="L40" s="61"/>
    </row>
    <row r="41" spans="1:12">
      <c r="A41" s="61" t="s">
        <v>171</v>
      </c>
      <c r="B41" s="74"/>
      <c r="C41" s="61"/>
      <c r="D41" s="61"/>
      <c r="E41" s="61"/>
      <c r="F41" s="61"/>
      <c r="G41" s="61"/>
      <c r="H41" s="61"/>
      <c r="I41" s="61"/>
      <c r="J41" s="61"/>
      <c r="K41" s="61"/>
      <c r="L41" s="61"/>
    </row>
    <row r="42" spans="1:12">
      <c r="A42" t="s">
        <v>180</v>
      </c>
      <c r="B42" s="17">
        <v>42725</v>
      </c>
      <c r="D42">
        <v>0</v>
      </c>
    </row>
    <row r="43" spans="1:12">
      <c r="A43" s="61" t="s">
        <v>615</v>
      </c>
      <c r="B43" s="62"/>
      <c r="C43" s="61"/>
      <c r="D43" s="61"/>
      <c r="E43" s="61"/>
      <c r="F43" s="61"/>
      <c r="G43" s="61"/>
      <c r="H43" s="61"/>
      <c r="I43" s="61"/>
      <c r="J43" s="61"/>
      <c r="K43" s="61"/>
      <c r="L43" s="61"/>
    </row>
    <row r="44" spans="1:12">
      <c r="A44" s="61" t="s">
        <v>160</v>
      </c>
      <c r="B44" s="62"/>
      <c r="C44" s="61"/>
      <c r="D44" s="61"/>
      <c r="E44" s="61"/>
      <c r="F44" s="61"/>
      <c r="G44" s="61"/>
      <c r="H44" s="61"/>
      <c r="I44" s="61"/>
      <c r="J44" s="61"/>
      <c r="K44" s="61"/>
      <c r="L44" s="61"/>
    </row>
    <row r="45" spans="1:12">
      <c r="A45" s="61" t="s">
        <v>55</v>
      </c>
      <c r="B45" s="62"/>
      <c r="C45" s="61"/>
      <c r="D45" s="61"/>
      <c r="E45" s="61"/>
      <c r="F45" s="61"/>
      <c r="G45" s="61"/>
      <c r="H45" s="61"/>
      <c r="I45" s="61"/>
      <c r="J45" s="61"/>
      <c r="K45" s="61"/>
      <c r="L45" s="61"/>
    </row>
    <row r="46" spans="1:12">
      <c r="A46" s="61" t="s">
        <v>147</v>
      </c>
      <c r="B46" s="62"/>
      <c r="C46" s="61"/>
      <c r="D46" s="61"/>
      <c r="E46" s="61"/>
      <c r="F46" s="61"/>
      <c r="G46" s="61"/>
      <c r="H46" s="61"/>
      <c r="I46" s="61"/>
      <c r="J46" s="61"/>
      <c r="K46" s="61"/>
      <c r="L46" s="61"/>
    </row>
    <row r="47" spans="1:12">
      <c r="A47" s="61" t="s">
        <v>152</v>
      </c>
      <c r="B47" s="62"/>
      <c r="C47" s="61"/>
      <c r="D47" s="61"/>
      <c r="E47" s="61"/>
      <c r="F47" s="61"/>
      <c r="G47" s="61"/>
      <c r="H47" s="61"/>
      <c r="I47" s="61"/>
      <c r="J47" s="61"/>
      <c r="K47" s="61"/>
      <c r="L47" s="61"/>
    </row>
    <row r="48" spans="1:12">
      <c r="A48" s="61" t="s">
        <v>555</v>
      </c>
      <c r="B48" s="62"/>
      <c r="C48" s="61"/>
      <c r="D48" s="61"/>
      <c r="E48" s="61"/>
      <c r="F48" s="61"/>
      <c r="G48" s="61"/>
      <c r="H48" s="61"/>
      <c r="I48" s="61"/>
      <c r="J48" s="61"/>
      <c r="K48" s="61"/>
      <c r="L48" s="61"/>
    </row>
    <row r="49" spans="1:12">
      <c r="A49" s="61" t="s">
        <v>555</v>
      </c>
      <c r="B49" s="62"/>
      <c r="C49" s="61"/>
      <c r="D49" s="61"/>
      <c r="E49" s="61"/>
      <c r="F49" s="61"/>
      <c r="G49" s="61"/>
      <c r="H49" s="61"/>
      <c r="I49" s="61"/>
      <c r="J49" s="61"/>
      <c r="K49" s="61"/>
      <c r="L49" s="61"/>
    </row>
    <row r="50" spans="1:12">
      <c r="A50" s="61" t="s">
        <v>174</v>
      </c>
      <c r="B50" s="62"/>
      <c r="C50" s="61"/>
      <c r="D50" s="61"/>
      <c r="E50" s="61"/>
      <c r="F50" s="61"/>
      <c r="G50" s="61"/>
      <c r="H50" s="61"/>
      <c r="I50" s="61"/>
      <c r="J50" s="61"/>
      <c r="K50" s="61"/>
      <c r="L50" s="61"/>
    </row>
    <row r="51" spans="1:12">
      <c r="A51" s="61" t="s">
        <v>174</v>
      </c>
      <c r="B51" s="62"/>
      <c r="C51" s="61"/>
      <c r="D51" s="61"/>
      <c r="E51" s="61"/>
      <c r="F51" s="61"/>
      <c r="G51" s="61"/>
      <c r="H51" s="61"/>
      <c r="I51" s="61"/>
      <c r="J51" s="61"/>
      <c r="K51" s="61"/>
      <c r="L51" s="61"/>
    </row>
    <row r="52" spans="1:12">
      <c r="A52" s="61" t="s">
        <v>403</v>
      </c>
      <c r="B52" s="62"/>
      <c r="C52" s="61"/>
      <c r="D52" s="61"/>
      <c r="E52" s="61"/>
      <c r="F52" s="61"/>
      <c r="G52" s="61"/>
      <c r="H52" s="61"/>
      <c r="I52" s="61"/>
      <c r="J52" s="61"/>
      <c r="K52" s="61"/>
      <c r="L52" s="61"/>
    </row>
    <row r="53" spans="1:12">
      <c r="A53" s="61" t="s">
        <v>125</v>
      </c>
      <c r="B53" s="62"/>
      <c r="C53" s="61"/>
      <c r="D53" s="61"/>
      <c r="E53" s="61"/>
      <c r="F53" s="61"/>
      <c r="G53" s="61"/>
      <c r="H53" s="61"/>
      <c r="I53" s="61"/>
      <c r="J53" s="61"/>
      <c r="K53" s="61"/>
      <c r="L53" s="61"/>
    </row>
    <row r="54" spans="1:12">
      <c r="A54" s="61" t="s">
        <v>343</v>
      </c>
      <c r="B54" s="62"/>
      <c r="C54" s="61"/>
      <c r="D54" s="61"/>
      <c r="E54" s="61"/>
      <c r="F54" s="61"/>
      <c r="G54" s="61"/>
      <c r="H54" s="61"/>
      <c r="I54" s="61"/>
      <c r="J54" s="61"/>
      <c r="K54" s="61"/>
      <c r="L54" s="61"/>
    </row>
    <row r="55" spans="1:12">
      <c r="A55" s="61" t="s">
        <v>169</v>
      </c>
      <c r="B55" s="62"/>
      <c r="C55" s="61"/>
      <c r="D55" s="61"/>
      <c r="E55" s="61"/>
      <c r="F55" s="61"/>
      <c r="G55" s="61"/>
      <c r="H55" s="61"/>
      <c r="I55" s="61"/>
      <c r="J55" s="61"/>
      <c r="K55" s="61"/>
      <c r="L55" s="61"/>
    </row>
    <row r="56" spans="1:12">
      <c r="A56" s="61" t="s">
        <v>62</v>
      </c>
      <c r="B56" s="62"/>
      <c r="C56" s="61"/>
      <c r="D56" s="61"/>
      <c r="E56" s="61"/>
      <c r="F56" s="61"/>
      <c r="G56" s="61"/>
      <c r="H56" s="61"/>
      <c r="I56" s="61"/>
      <c r="J56" s="61"/>
      <c r="K56" s="61"/>
      <c r="L56" s="61"/>
    </row>
    <row r="57" spans="1:12">
      <c r="A57" s="61" t="s">
        <v>359</v>
      </c>
      <c r="B57" s="62"/>
      <c r="C57" s="61"/>
      <c r="D57" s="61"/>
      <c r="E57" s="61"/>
      <c r="F57" s="61"/>
      <c r="G57" s="61"/>
      <c r="H57" s="61"/>
      <c r="I57" s="61"/>
      <c r="J57" s="61"/>
      <c r="K57" s="61"/>
      <c r="L57" s="61"/>
    </row>
    <row r="58" spans="1:12">
      <c r="A58" s="61" t="s">
        <v>441</v>
      </c>
      <c r="B58" s="62"/>
      <c r="C58" s="61"/>
      <c r="D58" s="61"/>
      <c r="E58" s="61"/>
      <c r="F58" s="61"/>
      <c r="G58" s="61"/>
      <c r="H58" s="61"/>
      <c r="I58" s="61"/>
      <c r="J58" s="61"/>
      <c r="K58" s="61"/>
      <c r="L58" s="61"/>
    </row>
    <row r="59" spans="1:12">
      <c r="A59" s="61" t="s">
        <v>142</v>
      </c>
      <c r="B59" s="62"/>
      <c r="C59" s="61"/>
      <c r="D59" s="61"/>
      <c r="E59" s="61"/>
      <c r="F59" s="61"/>
      <c r="G59" s="61"/>
      <c r="H59" s="61"/>
      <c r="I59" s="61"/>
      <c r="J59" s="61"/>
      <c r="K59" s="61"/>
      <c r="L59" s="61"/>
    </row>
    <row r="60" spans="1:12">
      <c r="A60" s="61" t="s">
        <v>46</v>
      </c>
      <c r="B60" s="62">
        <v>42507</v>
      </c>
      <c r="C60" s="61" t="s">
        <v>17</v>
      </c>
      <c r="D60" s="61">
        <v>1</v>
      </c>
      <c r="E60" s="61">
        <v>4000</v>
      </c>
      <c r="F60" s="61" t="s">
        <v>63</v>
      </c>
      <c r="G60" s="75">
        <v>2200</v>
      </c>
      <c r="H60" s="61" t="s">
        <v>663</v>
      </c>
      <c r="I60" s="61"/>
      <c r="J60" s="61"/>
      <c r="K60" s="61"/>
      <c r="L60" s="61"/>
    </row>
    <row r="61" spans="1:12">
      <c r="A61" s="61" t="s">
        <v>146</v>
      </c>
      <c r="B61" s="74"/>
      <c r="C61" s="61"/>
      <c r="D61" s="61"/>
      <c r="E61" s="61"/>
      <c r="F61" s="61"/>
      <c r="G61" s="61"/>
      <c r="H61" s="61"/>
      <c r="I61" s="61"/>
      <c r="J61" s="61"/>
      <c r="K61" s="61"/>
      <c r="L61" s="61"/>
    </row>
    <row r="62" spans="1:12">
      <c r="A62" t="s">
        <v>100</v>
      </c>
      <c r="B62" s="17">
        <v>42409</v>
      </c>
      <c r="D62">
        <v>1</v>
      </c>
      <c r="E62">
        <v>1000</v>
      </c>
    </row>
    <row r="63" spans="1:12">
      <c r="A63" t="s">
        <v>100</v>
      </c>
      <c r="B63" s="17">
        <v>40218</v>
      </c>
    </row>
    <row r="64" spans="1:12">
      <c r="A64" s="61" t="s">
        <v>100</v>
      </c>
      <c r="B64" s="62"/>
      <c r="C64" s="61"/>
      <c r="D64" s="61"/>
      <c r="E64" s="61"/>
      <c r="F64" s="61"/>
      <c r="G64" s="61"/>
      <c r="H64" s="61"/>
      <c r="I64" s="61"/>
      <c r="J64" s="61"/>
      <c r="K64" s="61"/>
      <c r="L64" s="61"/>
    </row>
    <row r="65" spans="1:12">
      <c r="A65" s="61" t="s">
        <v>227</v>
      </c>
      <c r="B65" s="62"/>
      <c r="C65" s="61"/>
      <c r="D65" s="61"/>
      <c r="E65" s="61"/>
      <c r="F65" s="61"/>
      <c r="G65" s="61"/>
      <c r="H65" s="61"/>
      <c r="I65" s="61"/>
      <c r="J65" s="61"/>
      <c r="K65" s="61"/>
      <c r="L65" s="61"/>
    </row>
    <row r="66" spans="1:12">
      <c r="A66" s="61" t="s">
        <v>159</v>
      </c>
      <c r="B66" s="62"/>
      <c r="C66" s="61"/>
      <c r="D66" s="61"/>
      <c r="E66" s="61"/>
      <c r="F66" s="61"/>
      <c r="G66" s="61"/>
      <c r="H66" s="61"/>
      <c r="I66" s="61"/>
      <c r="J66" s="61"/>
      <c r="K66" s="61"/>
      <c r="L66" s="61"/>
    </row>
    <row r="67" spans="1:12">
      <c r="A67" s="61" t="s">
        <v>132</v>
      </c>
      <c r="B67" s="62"/>
      <c r="C67" s="61"/>
      <c r="D67" s="61"/>
      <c r="E67" s="61"/>
      <c r="F67" s="61"/>
      <c r="G67" s="61"/>
      <c r="H67" s="61"/>
      <c r="I67" s="61"/>
      <c r="J67" s="61"/>
      <c r="K67" s="61"/>
      <c r="L67" s="61"/>
    </row>
    <row r="68" spans="1:12">
      <c r="A68" s="61" t="s">
        <v>408</v>
      </c>
      <c r="B68" s="62"/>
      <c r="C68" s="61"/>
      <c r="D68" s="61"/>
      <c r="E68" s="61"/>
      <c r="F68" s="61"/>
      <c r="G68" s="61"/>
      <c r="H68" s="61"/>
      <c r="I68" s="61"/>
      <c r="J68" s="61"/>
      <c r="K68" s="61"/>
      <c r="L68" s="61"/>
    </row>
    <row r="69" spans="1:12">
      <c r="A69" s="61" t="s">
        <v>408</v>
      </c>
      <c r="B69" s="74"/>
      <c r="C69" s="61"/>
      <c r="D69" s="61"/>
      <c r="E69" s="61"/>
      <c r="F69" s="61"/>
      <c r="G69" s="61"/>
      <c r="H69" s="61"/>
      <c r="I69" s="61"/>
      <c r="J69" s="61"/>
      <c r="K69" s="61"/>
      <c r="L69" s="61"/>
    </row>
    <row r="70" spans="1:12">
      <c r="A70" s="61" t="s">
        <v>143</v>
      </c>
      <c r="B70" s="93"/>
      <c r="C70" s="61"/>
      <c r="D70" s="61"/>
      <c r="E70" s="61"/>
      <c r="F70" s="61"/>
      <c r="G70" s="61"/>
      <c r="H70" s="61"/>
      <c r="I70" s="61"/>
      <c r="J70" s="61"/>
      <c r="K70" s="61"/>
      <c r="L70" s="61"/>
    </row>
    <row r="71" spans="1:12">
      <c r="A71" t="s">
        <v>189</v>
      </c>
      <c r="B71" s="17">
        <v>40570</v>
      </c>
      <c r="C71" s="60"/>
      <c r="D71" s="60"/>
      <c r="E71" s="60"/>
      <c r="F71" s="60"/>
      <c r="G71" s="60"/>
      <c r="H71" s="60"/>
      <c r="I71" s="60"/>
      <c r="J71" s="60"/>
      <c r="K71" s="60"/>
      <c r="L71" s="60" t="s">
        <v>645</v>
      </c>
    </row>
    <row r="72" spans="1:12">
      <c r="A72" t="s">
        <v>189</v>
      </c>
      <c r="B72" s="17">
        <v>40205</v>
      </c>
    </row>
    <row r="73" spans="1:12">
      <c r="A73" t="s">
        <v>189</v>
      </c>
      <c r="B73" s="17">
        <v>39840</v>
      </c>
    </row>
    <row r="74" spans="1:12">
      <c r="A74" t="s">
        <v>189</v>
      </c>
      <c r="B74" s="17">
        <v>39474</v>
      </c>
      <c r="C74" s="60"/>
      <c r="D74" s="60"/>
      <c r="E74" s="60"/>
      <c r="F74" s="60"/>
      <c r="G74" s="60"/>
      <c r="H74" s="60"/>
      <c r="I74" s="60"/>
      <c r="J74" s="60"/>
      <c r="K74" s="60"/>
      <c r="L74" s="60"/>
    </row>
    <row r="75" spans="1:12">
      <c r="A75" s="61" t="s">
        <v>436</v>
      </c>
      <c r="B75" s="62"/>
      <c r="C75" s="61"/>
      <c r="D75" s="61"/>
      <c r="E75" s="61"/>
      <c r="F75" s="61"/>
      <c r="G75" s="61"/>
      <c r="H75" s="61"/>
      <c r="I75" s="61"/>
      <c r="J75" s="61"/>
      <c r="K75" s="61"/>
      <c r="L75" s="61"/>
    </row>
    <row r="76" spans="1:12">
      <c r="A76" s="61" t="s">
        <v>348</v>
      </c>
      <c r="B76" s="62"/>
      <c r="C76" s="61"/>
      <c r="D76" s="61"/>
      <c r="E76" s="61"/>
      <c r="F76" s="61"/>
      <c r="G76" s="61"/>
      <c r="H76" s="61"/>
      <c r="I76" s="61"/>
      <c r="J76" s="61"/>
      <c r="K76" s="61"/>
      <c r="L76" s="61"/>
    </row>
    <row r="77" spans="1:12">
      <c r="A77" s="61" t="s">
        <v>167</v>
      </c>
      <c r="B77" s="62"/>
      <c r="C77" s="61"/>
      <c r="D77" s="61"/>
      <c r="E77" s="61"/>
      <c r="F77" s="61"/>
      <c r="G77" s="61"/>
      <c r="H77" s="61"/>
      <c r="I77" s="61"/>
      <c r="J77" s="61"/>
      <c r="K77" s="61"/>
      <c r="L77" s="61"/>
    </row>
    <row r="78" spans="1:12">
      <c r="A78" s="61" t="s">
        <v>153</v>
      </c>
      <c r="B78" s="62"/>
      <c r="C78" s="61"/>
      <c r="D78" s="61"/>
      <c r="E78" s="61"/>
      <c r="F78" s="61"/>
      <c r="G78" s="61"/>
      <c r="H78" s="61"/>
      <c r="I78" s="61"/>
      <c r="J78" s="61"/>
      <c r="K78" s="61"/>
      <c r="L78" s="61"/>
    </row>
    <row r="79" spans="1:12">
      <c r="A79" s="61" t="s">
        <v>133</v>
      </c>
      <c r="B79" s="62"/>
      <c r="C79" s="61"/>
      <c r="D79" s="61"/>
      <c r="E79" s="61"/>
      <c r="F79" s="61"/>
      <c r="G79" s="61"/>
      <c r="H79" s="61"/>
      <c r="I79" s="61"/>
      <c r="J79" s="61"/>
      <c r="K79" s="61"/>
      <c r="L79" s="61"/>
    </row>
    <row r="80" spans="1:12">
      <c r="A80" s="61" t="s">
        <v>165</v>
      </c>
      <c r="B80" s="62"/>
      <c r="C80" s="61"/>
      <c r="D80" s="61"/>
      <c r="E80" s="61"/>
      <c r="F80" s="61"/>
      <c r="G80" s="61"/>
      <c r="H80" s="61"/>
      <c r="I80" s="61"/>
      <c r="J80" s="61"/>
      <c r="K80" s="61"/>
      <c r="L80" s="61"/>
    </row>
    <row r="81" spans="1:12">
      <c r="A81" s="61" t="s">
        <v>611</v>
      </c>
      <c r="B81" s="62"/>
      <c r="C81" s="61"/>
      <c r="D81" s="61"/>
      <c r="E81" s="61"/>
      <c r="F81" s="61"/>
      <c r="G81" s="61"/>
      <c r="H81" s="61"/>
      <c r="I81" s="61"/>
      <c r="J81" s="61"/>
      <c r="K81" s="61"/>
      <c r="L81" s="61"/>
    </row>
    <row r="82" spans="1:12">
      <c r="A82" s="61" t="s">
        <v>135</v>
      </c>
      <c r="B82" s="62">
        <v>42524</v>
      </c>
      <c r="C82" s="61" t="s">
        <v>664</v>
      </c>
      <c r="D82" s="61">
        <v>1</v>
      </c>
      <c r="E82" s="61">
        <v>700</v>
      </c>
      <c r="F82" s="61" t="s">
        <v>98</v>
      </c>
      <c r="G82" s="61" t="s">
        <v>665</v>
      </c>
      <c r="H82" s="61" t="s">
        <v>650</v>
      </c>
      <c r="I82" s="61"/>
      <c r="J82" s="61"/>
      <c r="K82" s="61"/>
      <c r="L82" s="61"/>
    </row>
    <row r="83" spans="1:12">
      <c r="A83" s="61" t="s">
        <v>158</v>
      </c>
      <c r="B83" s="74"/>
      <c r="C83" s="61"/>
      <c r="D83" s="61"/>
      <c r="E83" s="61"/>
      <c r="F83" s="61"/>
      <c r="G83" s="61"/>
      <c r="H83" s="61"/>
      <c r="I83" s="61"/>
      <c r="J83" s="61"/>
      <c r="K83" s="61"/>
      <c r="L83" s="61"/>
    </row>
    <row r="84" spans="1:12">
      <c r="A84" s="61" t="s">
        <v>446</v>
      </c>
      <c r="B84" s="74"/>
      <c r="C84" s="61"/>
      <c r="D84" s="61"/>
      <c r="E84" s="61"/>
      <c r="F84" s="61"/>
      <c r="G84" s="61"/>
      <c r="H84" s="61"/>
      <c r="I84" s="61"/>
      <c r="J84" s="61"/>
      <c r="K84" s="61"/>
      <c r="L84" s="61"/>
    </row>
    <row r="85" spans="1:12">
      <c r="A85" s="61" t="s">
        <v>0</v>
      </c>
      <c r="B85" s="74">
        <v>42499</v>
      </c>
      <c r="C85" s="61" t="s">
        <v>648</v>
      </c>
      <c r="D85" s="61">
        <v>1</v>
      </c>
      <c r="E85" s="61">
        <v>2100</v>
      </c>
      <c r="F85" s="61" t="s">
        <v>47</v>
      </c>
      <c r="G85" s="61" t="s">
        <v>651</v>
      </c>
      <c r="H85" s="61" t="s">
        <v>650</v>
      </c>
      <c r="I85" s="61"/>
      <c r="J85" s="61"/>
      <c r="K85" s="61"/>
      <c r="L85" s="61"/>
    </row>
    <row r="86" spans="1:12">
      <c r="A86" s="61" t="s">
        <v>0</v>
      </c>
      <c r="B86" s="93">
        <v>42494</v>
      </c>
      <c r="C86" s="61" t="s">
        <v>657</v>
      </c>
      <c r="D86" s="61">
        <v>1</v>
      </c>
      <c r="E86" s="61">
        <v>1050</v>
      </c>
      <c r="F86" s="61" t="s">
        <v>47</v>
      </c>
      <c r="G86" s="61"/>
      <c r="H86" s="61"/>
      <c r="I86" s="61" t="s">
        <v>659</v>
      </c>
      <c r="J86" s="61"/>
      <c r="K86" s="61"/>
      <c r="L86" s="61"/>
    </row>
    <row r="87" spans="1:12">
      <c r="A87" t="s">
        <v>0</v>
      </c>
      <c r="B87" s="17">
        <v>42363</v>
      </c>
      <c r="C87" s="60"/>
      <c r="D87" s="60"/>
      <c r="E87" s="60"/>
      <c r="F87" s="60"/>
      <c r="G87" s="60"/>
      <c r="H87" s="60"/>
      <c r="I87" s="60"/>
      <c r="J87" s="60"/>
      <c r="K87" s="60"/>
      <c r="L87" s="60" t="s">
        <v>647</v>
      </c>
    </row>
    <row r="88" spans="1:12">
      <c r="A88" s="61" t="s">
        <v>412</v>
      </c>
      <c r="B88" s="74"/>
      <c r="C88" s="61"/>
      <c r="D88" s="61"/>
      <c r="E88" s="61"/>
      <c r="F88" s="61"/>
      <c r="G88" s="61"/>
      <c r="H88" s="61"/>
      <c r="I88" s="61"/>
      <c r="J88" s="61"/>
      <c r="K88" s="61"/>
      <c r="L88" s="61"/>
    </row>
    <row r="89" spans="1:12">
      <c r="A89" s="61" t="s">
        <v>151</v>
      </c>
      <c r="B89" s="62"/>
      <c r="C89" s="61"/>
      <c r="D89" s="61"/>
      <c r="E89" s="61"/>
      <c r="F89" s="61"/>
      <c r="G89" s="61"/>
      <c r="H89" s="61"/>
      <c r="I89" s="61"/>
      <c r="J89" s="61"/>
      <c r="K89" s="61"/>
      <c r="L89" s="61"/>
    </row>
    <row r="90" spans="1:12">
      <c r="A90" s="61" t="s">
        <v>141</v>
      </c>
      <c r="B90" s="62">
        <v>42516</v>
      </c>
      <c r="C90" s="61" t="s">
        <v>664</v>
      </c>
      <c r="D90" s="61">
        <v>1</v>
      </c>
      <c r="E90" s="61"/>
      <c r="F90" s="61" t="s">
        <v>47</v>
      </c>
      <c r="G90" s="61" t="s">
        <v>665</v>
      </c>
      <c r="H90" s="61" t="s">
        <v>650</v>
      </c>
      <c r="I90" s="61"/>
      <c r="J90" s="61"/>
      <c r="K90" s="61"/>
      <c r="L90" s="61"/>
    </row>
    <row r="91" spans="1:12">
      <c r="A91" s="61" t="s">
        <v>141</v>
      </c>
      <c r="B91" s="62">
        <v>42515</v>
      </c>
      <c r="C91" s="61" t="s">
        <v>17</v>
      </c>
      <c r="D91" s="61">
        <v>1</v>
      </c>
      <c r="E91" s="61">
        <v>500</v>
      </c>
      <c r="F91" s="61" t="s">
        <v>47</v>
      </c>
      <c r="G91" s="61"/>
      <c r="H91" s="61"/>
      <c r="I91" s="75">
        <v>5500</v>
      </c>
      <c r="J91" s="61"/>
      <c r="K91" s="61"/>
      <c r="L91" s="61" t="s">
        <v>666</v>
      </c>
    </row>
    <row r="92" spans="1:12">
      <c r="A92" s="61" t="s">
        <v>129</v>
      </c>
      <c r="B92" s="62"/>
      <c r="C92" s="61"/>
      <c r="D92" s="61"/>
      <c r="E92" s="61"/>
      <c r="F92" s="61"/>
      <c r="G92" s="61"/>
      <c r="H92" s="61"/>
      <c r="I92" s="61"/>
      <c r="J92" s="61"/>
      <c r="K92" s="61"/>
      <c r="L92" s="61"/>
    </row>
    <row r="93" spans="1:12">
      <c r="A93" s="61" t="s">
        <v>76</v>
      </c>
      <c r="B93" s="62"/>
      <c r="C93" s="61"/>
      <c r="D93" s="61"/>
      <c r="E93" s="61"/>
      <c r="F93" s="61"/>
      <c r="G93" s="61"/>
      <c r="H93" s="61"/>
      <c r="I93" s="61"/>
      <c r="J93" s="61"/>
      <c r="K93" s="61"/>
      <c r="L93" s="61"/>
    </row>
    <row r="94" spans="1:12">
      <c r="A94" s="61" t="s">
        <v>200</v>
      </c>
      <c r="B94" s="62">
        <v>42516</v>
      </c>
      <c r="C94" s="61" t="s">
        <v>664</v>
      </c>
      <c r="D94" s="61">
        <v>1</v>
      </c>
      <c r="E94" s="61"/>
      <c r="F94" s="61" t="s">
        <v>47</v>
      </c>
      <c r="G94" s="61" t="s">
        <v>665</v>
      </c>
      <c r="H94" s="61" t="s">
        <v>650</v>
      </c>
      <c r="I94" s="61"/>
      <c r="J94" s="61"/>
      <c r="K94" s="61"/>
      <c r="L94" s="61" t="s">
        <v>666</v>
      </c>
    </row>
    <row r="95" spans="1:12">
      <c r="A95" s="61" t="s">
        <v>97</v>
      </c>
      <c r="B95" s="62"/>
      <c r="C95" s="61"/>
      <c r="D95" s="61"/>
      <c r="E95" s="61"/>
      <c r="F95" s="61"/>
      <c r="G95" s="61"/>
      <c r="H95" s="61"/>
      <c r="I95" s="61"/>
      <c r="J95" s="61"/>
      <c r="K95" s="61"/>
      <c r="L95" s="61"/>
    </row>
    <row r="96" spans="1:12">
      <c r="A96" s="61" t="s">
        <v>173</v>
      </c>
      <c r="B96" s="62"/>
      <c r="C96" s="61"/>
      <c r="D96" s="61"/>
      <c r="E96" s="61"/>
      <c r="F96" s="61"/>
      <c r="G96" s="61"/>
      <c r="H96" s="61"/>
      <c r="I96" s="61"/>
      <c r="J96" s="61"/>
      <c r="K96" s="61"/>
      <c r="L96" s="61"/>
    </row>
    <row r="97" spans="1:12">
      <c r="A97" s="61" t="s">
        <v>134</v>
      </c>
      <c r="B97" s="62"/>
      <c r="C97" s="61"/>
      <c r="D97" s="61"/>
      <c r="E97" s="61"/>
      <c r="F97" s="61"/>
      <c r="G97" s="61"/>
      <c r="H97" s="61"/>
      <c r="I97" s="61"/>
      <c r="J97" s="61"/>
      <c r="K97" s="61"/>
      <c r="L97" s="61"/>
    </row>
    <row r="98" spans="1:12">
      <c r="A98" s="60" t="s">
        <v>134</v>
      </c>
      <c r="B98" s="81"/>
      <c r="C98" s="60" t="s">
        <v>676</v>
      </c>
      <c r="D98" s="60"/>
      <c r="E98" s="60"/>
      <c r="F98" s="60"/>
      <c r="G98" s="60"/>
      <c r="H98" s="60"/>
      <c r="I98" s="60"/>
      <c r="J98" s="60"/>
      <c r="K98" s="60"/>
      <c r="L98" s="60"/>
    </row>
    <row r="99" spans="1:12">
      <c r="A99" s="61" t="s">
        <v>136</v>
      </c>
      <c r="B99" s="93"/>
      <c r="C99" s="61"/>
      <c r="D99" s="61"/>
      <c r="E99" s="61"/>
      <c r="F99" s="61"/>
      <c r="G99" s="61"/>
      <c r="H99" s="61"/>
      <c r="I99" s="61"/>
      <c r="J99" s="61"/>
      <c r="K99" s="61"/>
      <c r="L99" s="61"/>
    </row>
    <row r="100" spans="1:12">
      <c r="A100" s="61" t="s">
        <v>175</v>
      </c>
      <c r="B100" s="93"/>
      <c r="C100" s="61"/>
      <c r="D100" s="61"/>
      <c r="E100" s="61"/>
      <c r="F100" s="61"/>
      <c r="G100" s="61"/>
      <c r="H100" s="61"/>
      <c r="I100" s="61"/>
      <c r="J100" s="61"/>
      <c r="K100" s="61"/>
      <c r="L100" s="61"/>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Sayfa5"/>
  <dimension ref="A1:L87"/>
  <sheetViews>
    <sheetView topLeftCell="A67" zoomScale="90" zoomScaleNormal="90" workbookViewId="0">
      <selection activeCell="B84" sqref="B84:L85"/>
    </sheetView>
  </sheetViews>
  <sheetFormatPr defaultRowHeight="14.4"/>
  <cols>
    <col min="1" max="1" width="18" customWidth="1"/>
    <col min="2" max="2" width="21" customWidth="1"/>
    <col min="3" max="3" width="31.44140625" customWidth="1"/>
    <col min="4" max="4" width="24.33203125" customWidth="1"/>
    <col min="5" max="6" width="20.88671875" customWidth="1"/>
    <col min="7" max="7" width="20.44140625" customWidth="1"/>
    <col min="8" max="8" width="21.6640625" bestFit="1" customWidth="1"/>
    <col min="9" max="9" width="21.44140625" bestFit="1" customWidth="1"/>
    <col min="10" max="11" width="21.5546875" customWidth="1"/>
    <col min="12" max="12" width="18.109375" customWidth="1"/>
    <col min="13" max="13" width="12" bestFit="1" customWidth="1"/>
  </cols>
  <sheetData>
    <row r="1" spans="1:12" ht="15" thickBot="1">
      <c r="A1" s="20" t="s">
        <v>36</v>
      </c>
      <c r="B1" s="20" t="s">
        <v>35</v>
      </c>
      <c r="C1" s="20" t="s">
        <v>26</v>
      </c>
      <c r="D1" s="20" t="s">
        <v>27</v>
      </c>
      <c r="E1" s="20" t="s">
        <v>28</v>
      </c>
      <c r="F1" s="20" t="s">
        <v>29</v>
      </c>
      <c r="G1" s="20" t="s">
        <v>30</v>
      </c>
      <c r="H1" s="20" t="s">
        <v>31</v>
      </c>
      <c r="I1" s="20" t="s">
        <v>32</v>
      </c>
      <c r="J1" s="20" t="s">
        <v>33</v>
      </c>
      <c r="K1" s="20" t="s">
        <v>186</v>
      </c>
      <c r="L1" s="20" t="s">
        <v>34</v>
      </c>
    </row>
    <row r="2" spans="1:12" ht="15" thickTop="1">
      <c r="A2" t="s">
        <v>426</v>
      </c>
      <c r="B2" s="17">
        <v>42358</v>
      </c>
    </row>
    <row r="3" spans="1:12">
      <c r="A3" t="s">
        <v>150</v>
      </c>
      <c r="B3" s="17"/>
    </row>
    <row r="4" spans="1:12">
      <c r="A4" t="s">
        <v>66</v>
      </c>
      <c r="B4" s="17"/>
    </row>
    <row r="5" spans="1:12">
      <c r="A5" t="s">
        <v>163</v>
      </c>
      <c r="B5" s="17"/>
    </row>
    <row r="6" spans="1:12">
      <c r="A6" t="s">
        <v>495</v>
      </c>
      <c r="B6" s="17"/>
    </row>
    <row r="7" spans="1:12">
      <c r="A7" t="s">
        <v>118</v>
      </c>
      <c r="B7" s="17"/>
    </row>
    <row r="8" spans="1:12">
      <c r="A8" t="s">
        <v>88</v>
      </c>
      <c r="B8" s="17"/>
    </row>
    <row r="9" spans="1:12">
      <c r="A9" t="s">
        <v>69</v>
      </c>
      <c r="B9" s="17">
        <v>42720</v>
      </c>
      <c r="C9" t="s">
        <v>90</v>
      </c>
      <c r="D9">
        <v>1</v>
      </c>
      <c r="E9">
        <v>750</v>
      </c>
      <c r="F9" t="s">
        <v>176</v>
      </c>
      <c r="G9">
        <v>1500</v>
      </c>
      <c r="H9">
        <v>0.5</v>
      </c>
      <c r="I9">
        <f>H9*E9+G9*D9</f>
        <v>1875</v>
      </c>
      <c r="J9">
        <v>2.9</v>
      </c>
      <c r="L9" t="s">
        <v>177</v>
      </c>
    </row>
    <row r="10" spans="1:12">
      <c r="A10" t="s">
        <v>69</v>
      </c>
      <c r="B10" s="17"/>
    </row>
    <row r="11" spans="1:12">
      <c r="A11" t="s">
        <v>111</v>
      </c>
      <c r="B11" s="17"/>
    </row>
    <row r="12" spans="1:12">
      <c r="A12" t="s">
        <v>83</v>
      </c>
      <c r="B12" s="17"/>
    </row>
    <row r="13" spans="1:12">
      <c r="A13" t="s">
        <v>155</v>
      </c>
      <c r="B13" s="17"/>
    </row>
    <row r="14" spans="1:12">
      <c r="A14" t="s">
        <v>161</v>
      </c>
      <c r="B14" s="17"/>
    </row>
    <row r="15" spans="1:12">
      <c r="A15" t="s">
        <v>45</v>
      </c>
      <c r="B15" s="17"/>
    </row>
    <row r="16" spans="1:12">
      <c r="A16" t="s">
        <v>157</v>
      </c>
      <c r="B16" s="17"/>
    </row>
    <row r="17" spans="1:12">
      <c r="A17" t="s">
        <v>149</v>
      </c>
      <c r="B17" s="17"/>
    </row>
    <row r="18" spans="1:12">
      <c r="A18" t="s">
        <v>156</v>
      </c>
      <c r="B18" s="17"/>
    </row>
    <row r="19" spans="1:12">
      <c r="A19" t="s">
        <v>467</v>
      </c>
      <c r="B19" s="17"/>
    </row>
    <row r="20" spans="1:12">
      <c r="A20" t="s">
        <v>145</v>
      </c>
      <c r="B20" s="17"/>
    </row>
    <row r="21" spans="1:12">
      <c r="A21" t="s">
        <v>168</v>
      </c>
      <c r="B21" s="17">
        <v>42515</v>
      </c>
      <c r="C21" t="s">
        <v>182</v>
      </c>
      <c r="D21">
        <v>1</v>
      </c>
      <c r="E21" t="s">
        <v>183</v>
      </c>
      <c r="F21" t="s">
        <v>183</v>
      </c>
      <c r="G21">
        <v>1000</v>
      </c>
      <c r="H21" t="s">
        <v>183</v>
      </c>
      <c r="I21">
        <v>1300</v>
      </c>
      <c r="J21">
        <v>2.94</v>
      </c>
      <c r="L21" t="s">
        <v>184</v>
      </c>
    </row>
    <row r="22" spans="1:12">
      <c r="A22" t="s">
        <v>168</v>
      </c>
      <c r="B22" s="17"/>
    </row>
    <row r="23" spans="1:12">
      <c r="A23" t="s">
        <v>154</v>
      </c>
      <c r="B23" s="17"/>
    </row>
    <row r="24" spans="1:12">
      <c r="A24" t="s">
        <v>162</v>
      </c>
      <c r="B24" s="17"/>
    </row>
    <row r="25" spans="1:12">
      <c r="A25" t="s">
        <v>138</v>
      </c>
      <c r="B25" s="17"/>
    </row>
    <row r="26" spans="1:12">
      <c r="A26" t="s">
        <v>187</v>
      </c>
      <c r="B26" s="17"/>
    </row>
    <row r="27" spans="1:12">
      <c r="A27" t="s">
        <v>144</v>
      </c>
      <c r="B27" s="17"/>
    </row>
    <row r="28" spans="1:12">
      <c r="A28" t="s">
        <v>172</v>
      </c>
      <c r="B28" s="17"/>
    </row>
    <row r="29" spans="1:12">
      <c r="A29" t="s">
        <v>137</v>
      </c>
      <c r="B29" s="17"/>
    </row>
    <row r="30" spans="1:12">
      <c r="A30" t="s">
        <v>636</v>
      </c>
      <c r="B30" s="17"/>
    </row>
    <row r="31" spans="1:12">
      <c r="A31" t="s">
        <v>353</v>
      </c>
      <c r="B31" s="17"/>
    </row>
    <row r="32" spans="1:12">
      <c r="A32" t="s">
        <v>548</v>
      </c>
      <c r="B32" s="17"/>
    </row>
    <row r="33" spans="1:12">
      <c r="A33" t="s">
        <v>471</v>
      </c>
      <c r="B33" s="17"/>
    </row>
    <row r="34" spans="1:12">
      <c r="A34" t="s">
        <v>164</v>
      </c>
      <c r="B34" s="17"/>
    </row>
    <row r="35" spans="1:12">
      <c r="A35" t="s">
        <v>93</v>
      </c>
      <c r="B35" s="17"/>
    </row>
    <row r="36" spans="1:12">
      <c r="A36" t="s">
        <v>171</v>
      </c>
      <c r="B36" s="17"/>
    </row>
    <row r="37" spans="1:12">
      <c r="A37" t="s">
        <v>615</v>
      </c>
      <c r="B37" s="17">
        <v>42725</v>
      </c>
      <c r="C37" t="s">
        <v>90</v>
      </c>
      <c r="D37">
        <v>1</v>
      </c>
      <c r="E37">
        <v>240</v>
      </c>
      <c r="F37" t="s">
        <v>178</v>
      </c>
      <c r="G37">
        <v>0</v>
      </c>
      <c r="H37">
        <v>1</v>
      </c>
      <c r="I37">
        <f>H37*E37+G37*D37</f>
        <v>240</v>
      </c>
      <c r="J37">
        <v>2.95</v>
      </c>
      <c r="L37" t="s">
        <v>181</v>
      </c>
    </row>
    <row r="38" spans="1:12">
      <c r="A38" t="s">
        <v>160</v>
      </c>
      <c r="B38" s="17"/>
    </row>
    <row r="39" spans="1:12">
      <c r="A39" t="s">
        <v>55</v>
      </c>
      <c r="B39" s="17"/>
    </row>
    <row r="40" spans="1:12">
      <c r="A40" t="s">
        <v>147</v>
      </c>
      <c r="B40" s="17"/>
    </row>
    <row r="41" spans="1:12">
      <c r="A41" t="s">
        <v>152</v>
      </c>
      <c r="B41" s="17"/>
    </row>
    <row r="42" spans="1:12">
      <c r="A42" t="s">
        <v>555</v>
      </c>
      <c r="B42" s="17"/>
    </row>
    <row r="43" spans="1:12">
      <c r="A43" t="s">
        <v>555</v>
      </c>
      <c r="B43" s="17"/>
    </row>
    <row r="44" spans="1:12">
      <c r="A44" t="s">
        <v>174</v>
      </c>
      <c r="B44" s="17"/>
    </row>
    <row r="45" spans="1:12">
      <c r="A45" t="s">
        <v>174</v>
      </c>
      <c r="B45" s="17"/>
    </row>
    <row r="46" spans="1:12">
      <c r="A46" t="s">
        <v>403</v>
      </c>
      <c r="B46" s="17"/>
    </row>
    <row r="47" spans="1:12">
      <c r="A47" t="s">
        <v>125</v>
      </c>
      <c r="B47" s="17"/>
    </row>
    <row r="48" spans="1:12">
      <c r="A48" t="s">
        <v>343</v>
      </c>
      <c r="B48" s="17"/>
    </row>
    <row r="49" spans="1:12">
      <c r="A49" t="s">
        <v>169</v>
      </c>
      <c r="B49" s="17"/>
    </row>
    <row r="50" spans="1:12">
      <c r="A50" t="s">
        <v>62</v>
      </c>
      <c r="B50" s="17"/>
    </row>
    <row r="51" spans="1:12">
      <c r="A51" t="s">
        <v>359</v>
      </c>
      <c r="B51" s="17"/>
    </row>
    <row r="52" spans="1:12">
      <c r="A52" t="s">
        <v>441</v>
      </c>
      <c r="B52" s="17"/>
    </row>
    <row r="53" spans="1:12">
      <c r="A53" t="s">
        <v>142</v>
      </c>
      <c r="B53" s="17"/>
    </row>
    <row r="54" spans="1:12">
      <c r="A54" t="s">
        <v>46</v>
      </c>
      <c r="B54" s="17"/>
    </row>
    <row r="55" spans="1:12">
      <c r="A55" t="s">
        <v>146</v>
      </c>
      <c r="B55" s="17"/>
    </row>
    <row r="56" spans="1:12">
      <c r="A56" t="s">
        <v>100</v>
      </c>
      <c r="B56" s="17"/>
    </row>
    <row r="57" spans="1:12">
      <c r="A57" t="s">
        <v>227</v>
      </c>
      <c r="B57" s="17"/>
    </row>
    <row r="58" spans="1:12">
      <c r="A58" t="s">
        <v>159</v>
      </c>
      <c r="B58" s="17"/>
    </row>
    <row r="59" spans="1:12">
      <c r="A59" t="s">
        <v>132</v>
      </c>
      <c r="B59" s="17"/>
    </row>
    <row r="60" spans="1:12">
      <c r="A60" t="s">
        <v>408</v>
      </c>
      <c r="B60" s="17"/>
    </row>
    <row r="61" spans="1:12">
      <c r="A61" s="61" t="s">
        <v>408</v>
      </c>
      <c r="B61" s="93"/>
      <c r="C61" s="61"/>
      <c r="D61" s="61"/>
      <c r="E61" s="61"/>
      <c r="F61" s="61"/>
      <c r="G61" s="61"/>
      <c r="H61" s="61"/>
      <c r="I61" s="61"/>
      <c r="J61" s="61"/>
      <c r="K61" s="61"/>
      <c r="L61" s="61"/>
    </row>
    <row r="62" spans="1:12">
      <c r="A62" t="s">
        <v>143</v>
      </c>
      <c r="B62" s="17"/>
    </row>
    <row r="63" spans="1:12">
      <c r="A63" t="s">
        <v>436</v>
      </c>
      <c r="B63" s="17"/>
    </row>
    <row r="64" spans="1:12">
      <c r="A64" t="s">
        <v>348</v>
      </c>
      <c r="B64" s="17"/>
    </row>
    <row r="65" spans="1:12">
      <c r="A65" t="s">
        <v>167</v>
      </c>
      <c r="B65" s="17"/>
    </row>
    <row r="66" spans="1:12">
      <c r="A66" t="s">
        <v>153</v>
      </c>
      <c r="B66" s="17"/>
    </row>
    <row r="67" spans="1:12">
      <c r="A67" t="s">
        <v>133</v>
      </c>
      <c r="B67" s="17"/>
    </row>
    <row r="68" spans="1:12">
      <c r="A68" t="s">
        <v>165</v>
      </c>
      <c r="B68" s="17"/>
    </row>
    <row r="69" spans="1:12">
      <c r="A69" t="s">
        <v>611</v>
      </c>
      <c r="B69" s="17"/>
    </row>
    <row r="70" spans="1:12">
      <c r="A70" t="s">
        <v>135</v>
      </c>
      <c r="B70" s="17"/>
    </row>
    <row r="71" spans="1:12">
      <c r="A71" t="s">
        <v>158</v>
      </c>
      <c r="B71" s="17"/>
    </row>
    <row r="72" spans="1:12">
      <c r="A72" t="s">
        <v>446</v>
      </c>
      <c r="B72" s="17"/>
    </row>
    <row r="73" spans="1:12">
      <c r="A73" t="s">
        <v>0</v>
      </c>
      <c r="B73" s="17">
        <v>43089</v>
      </c>
    </row>
    <row r="74" spans="1:12">
      <c r="A74" t="s">
        <v>0</v>
      </c>
      <c r="B74" s="17">
        <v>42724</v>
      </c>
      <c r="C74" t="s">
        <v>90</v>
      </c>
      <c r="D74">
        <v>1</v>
      </c>
      <c r="E74">
        <v>4200</v>
      </c>
      <c r="F74" t="s">
        <v>178</v>
      </c>
      <c r="G74">
        <v>1770</v>
      </c>
      <c r="H74">
        <v>0.65</v>
      </c>
      <c r="I74">
        <f>H74*E74+G74*D74</f>
        <v>4500</v>
      </c>
      <c r="J74">
        <v>3</v>
      </c>
      <c r="L74" t="s">
        <v>179</v>
      </c>
    </row>
    <row r="75" spans="1:12">
      <c r="A75" t="s">
        <v>0</v>
      </c>
      <c r="B75" s="17"/>
    </row>
    <row r="76" spans="1:12">
      <c r="A76" t="s">
        <v>412</v>
      </c>
      <c r="B76" s="17"/>
    </row>
    <row r="77" spans="1:12">
      <c r="A77" t="s">
        <v>151</v>
      </c>
      <c r="B77" s="17"/>
    </row>
    <row r="78" spans="1:12">
      <c r="A78" t="s">
        <v>141</v>
      </c>
      <c r="B78" s="17"/>
    </row>
    <row r="79" spans="1:12">
      <c r="A79" t="s">
        <v>129</v>
      </c>
      <c r="B79" s="17"/>
    </row>
    <row r="80" spans="1:12">
      <c r="A80" t="s">
        <v>76</v>
      </c>
      <c r="B80" s="17"/>
    </row>
    <row r="81" spans="1:12">
      <c r="A81" t="s">
        <v>200</v>
      </c>
      <c r="B81" s="17"/>
    </row>
    <row r="82" spans="1:12">
      <c r="A82" t="s">
        <v>97</v>
      </c>
      <c r="B82" s="17"/>
    </row>
    <row r="83" spans="1:12">
      <c r="A83" t="s">
        <v>173</v>
      </c>
      <c r="B83" s="17"/>
    </row>
    <row r="84" spans="1:12">
      <c r="A84" t="s">
        <v>134</v>
      </c>
      <c r="B84" s="17"/>
    </row>
    <row r="85" spans="1:12">
      <c r="A85" s="60" t="s">
        <v>134</v>
      </c>
      <c r="B85" s="81"/>
      <c r="C85" s="60" t="s">
        <v>676</v>
      </c>
      <c r="D85" s="60"/>
      <c r="E85" s="60"/>
      <c r="F85" s="60"/>
      <c r="G85" s="60"/>
      <c r="H85" s="60"/>
      <c r="I85" s="60"/>
      <c r="J85" s="60"/>
      <c r="K85" s="60"/>
      <c r="L85" s="60"/>
    </row>
    <row r="86" spans="1:12">
      <c r="A86" t="s">
        <v>136</v>
      </c>
      <c r="B86" s="17"/>
    </row>
    <row r="87" spans="1:12">
      <c r="A87" t="s">
        <v>175</v>
      </c>
      <c r="B87" s="17"/>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sheetPr codeName="Sayfa6"/>
  <dimension ref="A1:C180"/>
  <sheetViews>
    <sheetView topLeftCell="A162" workbookViewId="0">
      <selection activeCell="B173" sqref="B173:L174"/>
    </sheetView>
  </sheetViews>
  <sheetFormatPr defaultRowHeight="14.4"/>
  <cols>
    <col min="1" max="1" width="18" customWidth="1"/>
    <col min="2" max="2" width="21" customWidth="1"/>
    <col min="3" max="3" width="134.44140625" customWidth="1"/>
  </cols>
  <sheetData>
    <row r="1" spans="1:3">
      <c r="A1" s="82" t="s">
        <v>36</v>
      </c>
      <c r="B1" s="82" t="s">
        <v>42</v>
      </c>
      <c r="C1" s="82" t="s">
        <v>43</v>
      </c>
    </row>
    <row r="2" spans="1:3" ht="57.6">
      <c r="A2" s="83" t="s">
        <v>674</v>
      </c>
      <c r="B2" s="84" t="s">
        <v>213</v>
      </c>
      <c r="C2" s="85" t="s">
        <v>218</v>
      </c>
    </row>
    <row r="3" spans="1:3">
      <c r="A3" s="60" t="s">
        <v>150</v>
      </c>
      <c r="B3" s="84" t="s">
        <v>249</v>
      </c>
      <c r="C3" s="85" t="s">
        <v>250</v>
      </c>
    </row>
    <row r="4" spans="1:3">
      <c r="A4" s="83" t="s">
        <v>150</v>
      </c>
      <c r="B4" s="87"/>
      <c r="C4" s="86"/>
    </row>
    <row r="5" spans="1:3" ht="28.8">
      <c r="A5" s="83" t="s">
        <v>66</v>
      </c>
      <c r="B5" s="84" t="s">
        <v>193</v>
      </c>
      <c r="C5" s="85" t="s">
        <v>202</v>
      </c>
    </row>
    <row r="6" spans="1:3">
      <c r="A6" s="83" t="s">
        <v>66</v>
      </c>
      <c r="B6" s="87"/>
      <c r="C6" s="86"/>
    </row>
    <row r="7" spans="1:3">
      <c r="A7" s="83" t="s">
        <v>163</v>
      </c>
      <c r="B7" s="84" t="s">
        <v>190</v>
      </c>
      <c r="C7" s="85" t="s">
        <v>263</v>
      </c>
    </row>
    <row r="8" spans="1:3">
      <c r="A8" s="83" t="s">
        <v>163</v>
      </c>
      <c r="B8" s="87"/>
      <c r="C8" s="86"/>
    </row>
    <row r="9" spans="1:3">
      <c r="A9" s="83" t="s">
        <v>495</v>
      </c>
      <c r="B9" s="87"/>
      <c r="C9" s="86"/>
    </row>
    <row r="10" spans="1:3">
      <c r="A10" s="83" t="s">
        <v>118</v>
      </c>
      <c r="B10" s="84" t="s">
        <v>308</v>
      </c>
      <c r="C10" s="85" t="s">
        <v>309</v>
      </c>
    </row>
    <row r="11" spans="1:3" ht="28.8">
      <c r="A11" s="83" t="s">
        <v>118</v>
      </c>
      <c r="B11" s="84" t="s">
        <v>213</v>
      </c>
      <c r="C11" s="85" t="s">
        <v>220</v>
      </c>
    </row>
    <row r="12" spans="1:3" ht="28.8">
      <c r="A12" s="83" t="s">
        <v>118</v>
      </c>
      <c r="B12" s="84" t="s">
        <v>288</v>
      </c>
      <c r="C12" s="88" t="s">
        <v>307</v>
      </c>
    </row>
    <row r="13" spans="1:3">
      <c r="A13" s="83" t="s">
        <v>118</v>
      </c>
      <c r="B13" s="84" t="s">
        <v>193</v>
      </c>
      <c r="C13" s="85" t="s">
        <v>310</v>
      </c>
    </row>
    <row r="14" spans="1:3">
      <c r="A14" s="60" t="s">
        <v>118</v>
      </c>
      <c r="B14" s="87"/>
      <c r="C14" s="86"/>
    </row>
    <row r="15" spans="1:3" ht="28.8">
      <c r="A15" s="83" t="s">
        <v>88</v>
      </c>
      <c r="B15" s="89" t="s">
        <v>295</v>
      </c>
      <c r="C15" s="85" t="s">
        <v>296</v>
      </c>
    </row>
    <row r="16" spans="1:3">
      <c r="A16" s="83" t="s">
        <v>88</v>
      </c>
      <c r="B16" s="84" t="s">
        <v>297</v>
      </c>
      <c r="C16" s="85" t="s">
        <v>298</v>
      </c>
    </row>
    <row r="17" spans="1:3" ht="28.8">
      <c r="A17" s="83" t="s">
        <v>88</v>
      </c>
      <c r="B17" s="84" t="s">
        <v>190</v>
      </c>
      <c r="C17" s="85" t="s">
        <v>208</v>
      </c>
    </row>
    <row r="18" spans="1:3">
      <c r="A18" s="60" t="s">
        <v>88</v>
      </c>
      <c r="B18" s="87"/>
      <c r="C18" s="86"/>
    </row>
    <row r="19" spans="1:3">
      <c r="A19" s="83" t="s">
        <v>69</v>
      </c>
      <c r="B19" s="84" t="s">
        <v>284</v>
      </c>
      <c r="C19" s="85" t="s">
        <v>285</v>
      </c>
    </row>
    <row r="20" spans="1:3" ht="28.8">
      <c r="A20" s="83" t="s">
        <v>69</v>
      </c>
      <c r="B20" s="84" t="s">
        <v>282</v>
      </c>
      <c r="C20" s="85" t="s">
        <v>283</v>
      </c>
    </row>
    <row r="21" spans="1:3">
      <c r="A21" s="83" t="s">
        <v>69</v>
      </c>
      <c r="B21" s="84" t="s">
        <v>203</v>
      </c>
      <c r="C21" s="85" t="s">
        <v>204</v>
      </c>
    </row>
    <row r="22" spans="1:3" ht="28.8">
      <c r="A22" s="83" t="s">
        <v>69</v>
      </c>
      <c r="B22" s="84" t="s">
        <v>286</v>
      </c>
      <c r="C22" s="85" t="s">
        <v>287</v>
      </c>
    </row>
    <row r="23" spans="1:3">
      <c r="A23" s="60" t="s">
        <v>69</v>
      </c>
      <c r="B23" s="87"/>
      <c r="C23" s="86"/>
    </row>
    <row r="24" spans="1:3">
      <c r="A24" s="83" t="s">
        <v>111</v>
      </c>
      <c r="B24" s="84" t="s">
        <v>302</v>
      </c>
      <c r="C24" s="85" t="s">
        <v>303</v>
      </c>
    </row>
    <row r="25" spans="1:3" ht="43.2">
      <c r="A25" s="83" t="s">
        <v>111</v>
      </c>
      <c r="B25" s="84" t="s">
        <v>213</v>
      </c>
      <c r="C25" s="85" t="s">
        <v>217</v>
      </c>
    </row>
    <row r="26" spans="1:3" ht="28.8">
      <c r="A26" s="83" t="s">
        <v>111</v>
      </c>
      <c r="B26" s="89" t="s">
        <v>213</v>
      </c>
      <c r="C26" s="85" t="s">
        <v>301</v>
      </c>
    </row>
    <row r="27" spans="1:3" ht="28.8">
      <c r="A27" s="83" t="s">
        <v>111</v>
      </c>
      <c r="B27" s="84" t="s">
        <v>304</v>
      </c>
      <c r="C27" s="85" t="s">
        <v>305</v>
      </c>
    </row>
    <row r="28" spans="1:3">
      <c r="A28" s="60" t="s">
        <v>111</v>
      </c>
      <c r="B28" s="87"/>
      <c r="C28" s="86"/>
    </row>
    <row r="29" spans="1:3" ht="28.8">
      <c r="A29" s="83" t="s">
        <v>83</v>
      </c>
      <c r="B29" s="89" t="s">
        <v>288</v>
      </c>
      <c r="C29" s="85" t="s">
        <v>289</v>
      </c>
    </row>
    <row r="30" spans="1:3" ht="28.8">
      <c r="A30" s="83" t="s">
        <v>83</v>
      </c>
      <c r="B30" s="84" t="s">
        <v>209</v>
      </c>
      <c r="C30" s="85" t="s">
        <v>294</v>
      </c>
    </row>
    <row r="31" spans="1:3">
      <c r="A31" s="83" t="s">
        <v>83</v>
      </c>
      <c r="B31" s="84" t="s">
        <v>292</v>
      </c>
      <c r="C31" s="85" t="s">
        <v>293</v>
      </c>
    </row>
    <row r="32" spans="1:3">
      <c r="A32" s="83" t="s">
        <v>83</v>
      </c>
      <c r="B32" s="84" t="s">
        <v>190</v>
      </c>
      <c r="C32" s="85" t="s">
        <v>207</v>
      </c>
    </row>
    <row r="33" spans="1:3">
      <c r="A33" s="83" t="s">
        <v>83</v>
      </c>
      <c r="B33" s="84" t="s">
        <v>290</v>
      </c>
      <c r="C33" s="90" t="s">
        <v>291</v>
      </c>
    </row>
    <row r="34" spans="1:3">
      <c r="A34" s="60" t="s">
        <v>83</v>
      </c>
      <c r="B34" s="87"/>
      <c r="C34" s="86"/>
    </row>
    <row r="35" spans="1:3">
      <c r="A35" s="83" t="s">
        <v>155</v>
      </c>
      <c r="B35" s="84" t="s">
        <v>215</v>
      </c>
      <c r="C35" s="85" t="s">
        <v>255</v>
      </c>
    </row>
    <row r="36" spans="1:3">
      <c r="A36" s="60" t="s">
        <v>155</v>
      </c>
      <c r="B36" s="87"/>
      <c r="C36" s="86"/>
    </row>
    <row r="37" spans="1:3" ht="28.8">
      <c r="A37" s="83" t="s">
        <v>161</v>
      </c>
      <c r="B37" s="84" t="s">
        <v>190</v>
      </c>
      <c r="C37" s="85" t="s">
        <v>261</v>
      </c>
    </row>
    <row r="38" spans="1:3">
      <c r="A38" s="60" t="s">
        <v>161</v>
      </c>
      <c r="B38" s="87"/>
      <c r="C38" s="86"/>
    </row>
    <row r="39" spans="1:3" ht="57.6">
      <c r="A39" s="83" t="s">
        <v>45</v>
      </c>
      <c r="B39" s="84" t="s">
        <v>209</v>
      </c>
      <c r="C39" s="85" t="s">
        <v>281</v>
      </c>
    </row>
    <row r="40" spans="1:3" ht="43.2">
      <c r="A40" s="83" t="s">
        <v>45</v>
      </c>
      <c r="B40" s="84" t="s">
        <v>190</v>
      </c>
      <c r="C40" s="85" t="s">
        <v>191</v>
      </c>
    </row>
    <row r="41" spans="1:3">
      <c r="A41" s="60" t="s">
        <v>45</v>
      </c>
      <c r="B41" s="87"/>
      <c r="C41" s="86"/>
    </row>
    <row r="42" spans="1:3" ht="28.8">
      <c r="A42" s="83" t="s">
        <v>157</v>
      </c>
      <c r="B42" s="84" t="s">
        <v>302</v>
      </c>
      <c r="C42" s="85" t="s">
        <v>324</v>
      </c>
    </row>
    <row r="43" spans="1:3" ht="43.2">
      <c r="A43" s="83" t="s">
        <v>157</v>
      </c>
      <c r="B43" s="84" t="s">
        <v>190</v>
      </c>
      <c r="C43" s="85" t="s">
        <v>257</v>
      </c>
    </row>
    <row r="44" spans="1:3">
      <c r="A44" s="60" t="s">
        <v>157</v>
      </c>
      <c r="B44" s="87"/>
      <c r="C44" s="86"/>
    </row>
    <row r="45" spans="1:3">
      <c r="A45" s="83" t="s">
        <v>322</v>
      </c>
      <c r="B45" s="84" t="s">
        <v>288</v>
      </c>
      <c r="C45" s="85" t="s">
        <v>323</v>
      </c>
    </row>
    <row r="46" spans="1:3" ht="28.8">
      <c r="A46" s="83" t="s">
        <v>149</v>
      </c>
      <c r="B46" s="84" t="s">
        <v>215</v>
      </c>
      <c r="C46" s="85" t="s">
        <v>248</v>
      </c>
    </row>
    <row r="47" spans="1:3">
      <c r="A47" s="60" t="s">
        <v>149</v>
      </c>
      <c r="B47" s="87"/>
      <c r="C47" s="86"/>
    </row>
    <row r="48" spans="1:3">
      <c r="A48" s="83" t="s">
        <v>156</v>
      </c>
      <c r="B48" s="84" t="s">
        <v>215</v>
      </c>
      <c r="C48" s="85" t="s">
        <v>256</v>
      </c>
    </row>
    <row r="49" spans="1:3">
      <c r="A49" s="60" t="s">
        <v>156</v>
      </c>
      <c r="B49" s="87"/>
      <c r="C49" s="86"/>
    </row>
    <row r="50" spans="1:3">
      <c r="A50" s="60" t="s">
        <v>467</v>
      </c>
      <c r="B50" s="87"/>
      <c r="C50" s="86"/>
    </row>
    <row r="51" spans="1:3" ht="28.8">
      <c r="A51" s="85" t="s">
        <v>148</v>
      </c>
      <c r="B51" s="84" t="s">
        <v>215</v>
      </c>
      <c r="C51" s="85" t="s">
        <v>247</v>
      </c>
    </row>
    <row r="52" spans="1:3">
      <c r="A52" s="83" t="s">
        <v>145</v>
      </c>
      <c r="B52" s="84" t="s">
        <v>223</v>
      </c>
      <c r="C52" s="85" t="s">
        <v>244</v>
      </c>
    </row>
    <row r="53" spans="1:3">
      <c r="A53" s="60" t="s">
        <v>145</v>
      </c>
      <c r="B53" s="87"/>
      <c r="C53" s="86"/>
    </row>
    <row r="54" spans="1:3">
      <c r="A54" s="85" t="s">
        <v>168</v>
      </c>
      <c r="B54" s="84" t="s">
        <v>319</v>
      </c>
      <c r="C54" s="85" t="s">
        <v>327</v>
      </c>
    </row>
    <row r="55" spans="1:3">
      <c r="A55" s="85" t="s">
        <v>168</v>
      </c>
      <c r="B55" s="84" t="s">
        <v>270</v>
      </c>
      <c r="C55" s="91" t="s">
        <v>271</v>
      </c>
    </row>
    <row r="56" spans="1:3">
      <c r="A56" s="60" t="s">
        <v>168</v>
      </c>
      <c r="B56" s="87"/>
      <c r="C56" s="86"/>
    </row>
    <row r="57" spans="1:3">
      <c r="A57" s="83" t="s">
        <v>154</v>
      </c>
      <c r="B57" s="84" t="s">
        <v>223</v>
      </c>
      <c r="C57" s="85" t="s">
        <v>254</v>
      </c>
    </row>
    <row r="58" spans="1:3">
      <c r="A58" s="60" t="s">
        <v>154</v>
      </c>
      <c r="B58" s="87"/>
      <c r="C58" s="86"/>
    </row>
    <row r="59" spans="1:3">
      <c r="A59" s="83" t="s">
        <v>162</v>
      </c>
      <c r="B59" s="84" t="s">
        <v>223</v>
      </c>
      <c r="C59" s="85" t="s">
        <v>262</v>
      </c>
    </row>
    <row r="60" spans="1:3">
      <c r="A60" s="60" t="s">
        <v>162</v>
      </c>
      <c r="B60" s="87"/>
      <c r="C60" s="86"/>
    </row>
    <row r="61" spans="1:3">
      <c r="A61" s="83" t="s">
        <v>138</v>
      </c>
      <c r="B61" s="84" t="s">
        <v>223</v>
      </c>
      <c r="C61" s="85" t="s">
        <v>236</v>
      </c>
    </row>
    <row r="62" spans="1:3">
      <c r="A62" s="60" t="s">
        <v>138</v>
      </c>
      <c r="B62" s="87"/>
      <c r="C62" s="86"/>
    </row>
    <row r="63" spans="1:3">
      <c r="A63" s="60" t="s">
        <v>187</v>
      </c>
      <c r="B63" s="87"/>
      <c r="C63" s="86"/>
    </row>
    <row r="64" spans="1:3" ht="28.8">
      <c r="A64" s="83" t="s">
        <v>144</v>
      </c>
      <c r="B64" s="84" t="s">
        <v>233</v>
      </c>
      <c r="C64" s="85" t="s">
        <v>243</v>
      </c>
    </row>
    <row r="65" spans="1:3">
      <c r="A65" s="60" t="s">
        <v>144</v>
      </c>
      <c r="B65" s="87"/>
      <c r="C65" s="86"/>
    </row>
    <row r="66" spans="1:3">
      <c r="A66" s="83" t="s">
        <v>172</v>
      </c>
      <c r="B66" s="84" t="s">
        <v>223</v>
      </c>
      <c r="C66" s="85" t="s">
        <v>276</v>
      </c>
    </row>
    <row r="67" spans="1:3">
      <c r="A67" s="60" t="s">
        <v>172</v>
      </c>
      <c r="B67" s="87"/>
      <c r="C67" s="86"/>
    </row>
    <row r="68" spans="1:3" ht="28.8">
      <c r="A68" s="83" t="s">
        <v>137</v>
      </c>
      <c r="B68" s="84" t="s">
        <v>233</v>
      </c>
      <c r="C68" s="85" t="s">
        <v>235</v>
      </c>
    </row>
    <row r="69" spans="1:3">
      <c r="A69" s="60" t="s">
        <v>137</v>
      </c>
      <c r="B69" s="87"/>
      <c r="C69" s="86"/>
    </row>
    <row r="70" spans="1:3">
      <c r="A70" s="60" t="s">
        <v>636</v>
      </c>
      <c r="B70" s="87"/>
      <c r="C70" s="86"/>
    </row>
    <row r="71" spans="1:3">
      <c r="A71" s="60" t="s">
        <v>353</v>
      </c>
      <c r="B71" s="87"/>
      <c r="C71" s="86"/>
    </row>
    <row r="72" spans="1:3">
      <c r="A72" s="60" t="s">
        <v>548</v>
      </c>
      <c r="B72" s="87"/>
      <c r="C72" s="86"/>
    </row>
    <row r="73" spans="1:3" ht="28.8">
      <c r="A73" s="85" t="s">
        <v>166</v>
      </c>
      <c r="B73" s="84" t="s">
        <v>267</v>
      </c>
      <c r="C73" s="85" t="s">
        <v>268</v>
      </c>
    </row>
    <row r="74" spans="1:3">
      <c r="A74" s="60" t="s">
        <v>471</v>
      </c>
      <c r="B74" s="87"/>
      <c r="C74" s="86"/>
    </row>
    <row r="75" spans="1:3">
      <c r="A75" s="83" t="s">
        <v>164</v>
      </c>
      <c r="B75" s="84" t="s">
        <v>213</v>
      </c>
      <c r="C75" s="85" t="s">
        <v>264</v>
      </c>
    </row>
    <row r="76" spans="1:3">
      <c r="A76" s="60" t="s">
        <v>164</v>
      </c>
      <c r="B76" s="87"/>
      <c r="C76" s="86"/>
    </row>
    <row r="77" spans="1:3" ht="43.2">
      <c r="A77" s="83" t="s">
        <v>93</v>
      </c>
      <c r="B77" s="84" t="s">
        <v>209</v>
      </c>
      <c r="C77" s="85" t="s">
        <v>210</v>
      </c>
    </row>
    <row r="78" spans="1:3">
      <c r="A78" s="60" t="s">
        <v>93</v>
      </c>
      <c r="B78" s="87"/>
      <c r="C78" s="86"/>
    </row>
    <row r="79" spans="1:3">
      <c r="A79" s="85" t="s">
        <v>171</v>
      </c>
      <c r="B79" s="84" t="s">
        <v>190</v>
      </c>
      <c r="C79" s="85" t="s">
        <v>275</v>
      </c>
    </row>
    <row r="80" spans="1:3">
      <c r="A80" s="60" t="s">
        <v>171</v>
      </c>
      <c r="B80" s="87"/>
      <c r="C80" s="86"/>
    </row>
    <row r="81" spans="1:3">
      <c r="A81" s="60" t="s">
        <v>615</v>
      </c>
      <c r="B81" s="87"/>
      <c r="C81" s="86"/>
    </row>
    <row r="82" spans="1:3">
      <c r="A82" s="83" t="s">
        <v>160</v>
      </c>
      <c r="B82" s="84" t="s">
        <v>190</v>
      </c>
      <c r="C82" s="85" t="s">
        <v>260</v>
      </c>
    </row>
    <row r="83" spans="1:3">
      <c r="A83" s="60" t="s">
        <v>160</v>
      </c>
      <c r="B83" s="87"/>
      <c r="C83" s="86"/>
    </row>
    <row r="84" spans="1:3">
      <c r="A84" s="60" t="s">
        <v>55</v>
      </c>
      <c r="B84" s="87"/>
      <c r="C84" s="86"/>
    </row>
    <row r="85" spans="1:3" ht="43.2">
      <c r="A85" s="83" t="s">
        <v>195</v>
      </c>
      <c r="B85" s="84" t="s">
        <v>196</v>
      </c>
      <c r="C85" s="85" t="s">
        <v>197</v>
      </c>
    </row>
    <row r="86" spans="1:3" ht="28.8">
      <c r="A86" s="83" t="s">
        <v>147</v>
      </c>
      <c r="B86" s="84" t="s">
        <v>215</v>
      </c>
      <c r="C86" s="85" t="s">
        <v>246</v>
      </c>
    </row>
    <row r="87" spans="1:3">
      <c r="A87" s="60" t="s">
        <v>147</v>
      </c>
      <c r="B87" s="87"/>
      <c r="C87" s="86"/>
    </row>
    <row r="88" spans="1:3" ht="28.8">
      <c r="A88" s="83" t="s">
        <v>152</v>
      </c>
      <c r="B88" s="84" t="s">
        <v>223</v>
      </c>
      <c r="C88" s="85" t="s">
        <v>252</v>
      </c>
    </row>
    <row r="89" spans="1:3">
      <c r="A89" s="60" t="s">
        <v>152</v>
      </c>
      <c r="B89" s="87"/>
      <c r="C89" s="86"/>
    </row>
    <row r="90" spans="1:3">
      <c r="A90" s="60" t="s">
        <v>555</v>
      </c>
      <c r="B90" s="87"/>
      <c r="C90" s="86"/>
    </row>
    <row r="91" spans="1:3">
      <c r="A91" s="60" t="s">
        <v>555</v>
      </c>
      <c r="B91" s="87"/>
      <c r="C91" s="86"/>
    </row>
    <row r="92" spans="1:3" ht="28.8">
      <c r="A92" s="83" t="s">
        <v>170</v>
      </c>
      <c r="B92" s="84" t="s">
        <v>273</v>
      </c>
      <c r="C92" s="85" t="s">
        <v>274</v>
      </c>
    </row>
    <row r="93" spans="1:3">
      <c r="A93" s="83" t="s">
        <v>174</v>
      </c>
      <c r="B93" s="84" t="s">
        <v>190</v>
      </c>
      <c r="C93" s="83" t="s">
        <v>278</v>
      </c>
    </row>
    <row r="94" spans="1:3">
      <c r="A94" s="60" t="s">
        <v>174</v>
      </c>
      <c r="B94" s="87"/>
      <c r="C94" s="86"/>
    </row>
    <row r="95" spans="1:3">
      <c r="A95" s="60" t="s">
        <v>174</v>
      </c>
      <c r="B95" s="87"/>
      <c r="C95" s="86"/>
    </row>
    <row r="96" spans="1:3">
      <c r="A96" s="60" t="s">
        <v>403</v>
      </c>
      <c r="B96" s="87"/>
      <c r="C96" s="86"/>
    </row>
    <row r="97" spans="1:3" ht="28.8">
      <c r="A97" s="83" t="s">
        <v>125</v>
      </c>
      <c r="B97" s="84" t="s">
        <v>223</v>
      </c>
      <c r="C97" s="85" t="s">
        <v>224</v>
      </c>
    </row>
    <row r="98" spans="1:3">
      <c r="A98" s="60" t="s">
        <v>125</v>
      </c>
      <c r="B98" s="87"/>
      <c r="C98" s="86"/>
    </row>
    <row r="99" spans="1:3">
      <c r="A99" s="60" t="s">
        <v>343</v>
      </c>
      <c r="B99" s="87"/>
      <c r="C99" s="86"/>
    </row>
    <row r="100" spans="1:3">
      <c r="A100" s="83" t="s">
        <v>169</v>
      </c>
      <c r="B100" s="89" t="s">
        <v>190</v>
      </c>
      <c r="C100" s="83" t="s">
        <v>272</v>
      </c>
    </row>
    <row r="101" spans="1:3">
      <c r="A101" s="60" t="s">
        <v>169</v>
      </c>
      <c r="B101" s="87"/>
      <c r="C101" s="86"/>
    </row>
    <row r="102" spans="1:3">
      <c r="A102" s="60" t="s">
        <v>62</v>
      </c>
      <c r="B102" s="87"/>
      <c r="C102" s="86"/>
    </row>
    <row r="103" spans="1:3" ht="28.8">
      <c r="A103" s="83" t="s">
        <v>198</v>
      </c>
      <c r="B103" s="84" t="s">
        <v>193</v>
      </c>
      <c r="C103" s="85" t="s">
        <v>199</v>
      </c>
    </row>
    <row r="104" spans="1:3">
      <c r="A104" s="60" t="s">
        <v>359</v>
      </c>
      <c r="B104" s="87"/>
      <c r="C104" s="86"/>
    </row>
    <row r="105" spans="1:3" ht="43.2">
      <c r="A105" s="83" t="s">
        <v>130</v>
      </c>
      <c r="B105" s="84" t="s">
        <v>213</v>
      </c>
      <c r="C105" s="85" t="s">
        <v>226</v>
      </c>
    </row>
    <row r="106" spans="1:3" ht="28.8">
      <c r="A106" s="83" t="s">
        <v>130</v>
      </c>
      <c r="B106" s="84" t="s">
        <v>288</v>
      </c>
      <c r="C106" s="85" t="s">
        <v>317</v>
      </c>
    </row>
    <row r="107" spans="1:3">
      <c r="A107" s="60" t="s">
        <v>441</v>
      </c>
      <c r="B107" s="87"/>
      <c r="C107" s="86"/>
    </row>
    <row r="108" spans="1:3" ht="28.8">
      <c r="A108" s="85" t="s">
        <v>142</v>
      </c>
      <c r="B108" s="84" t="s">
        <v>233</v>
      </c>
      <c r="C108" s="85" t="s">
        <v>241</v>
      </c>
    </row>
    <row r="109" spans="1:3">
      <c r="A109" s="60" t="s">
        <v>142</v>
      </c>
      <c r="B109" s="87"/>
      <c r="C109" s="86"/>
    </row>
    <row r="110" spans="1:3">
      <c r="A110" s="60" t="s">
        <v>46</v>
      </c>
      <c r="B110" s="87"/>
      <c r="C110" s="86"/>
    </row>
    <row r="111" spans="1:3" ht="28.8">
      <c r="A111" s="83" t="s">
        <v>192</v>
      </c>
      <c r="B111" s="84" t="s">
        <v>193</v>
      </c>
      <c r="C111" s="85" t="s">
        <v>194</v>
      </c>
    </row>
    <row r="112" spans="1:3" ht="28.8">
      <c r="A112" s="83" t="s">
        <v>146</v>
      </c>
      <c r="B112" s="84" t="s">
        <v>223</v>
      </c>
      <c r="C112" s="85" t="s">
        <v>245</v>
      </c>
    </row>
    <row r="113" spans="1:3">
      <c r="A113" s="60" t="s">
        <v>146</v>
      </c>
      <c r="B113" s="87"/>
      <c r="C113" s="86"/>
    </row>
    <row r="114" spans="1:3" ht="43.2">
      <c r="A114" s="83" t="s">
        <v>100</v>
      </c>
      <c r="B114" s="84" t="s">
        <v>213</v>
      </c>
      <c r="C114" s="85" t="s">
        <v>214</v>
      </c>
    </row>
    <row r="115" spans="1:3" ht="43.2">
      <c r="A115" s="83" t="s">
        <v>100</v>
      </c>
      <c r="B115" s="84" t="s">
        <v>299</v>
      </c>
      <c r="C115" s="85" t="s">
        <v>300</v>
      </c>
    </row>
    <row r="116" spans="1:3">
      <c r="A116" s="60" t="s">
        <v>100</v>
      </c>
      <c r="B116" s="87"/>
      <c r="C116" s="86"/>
    </row>
    <row r="117" spans="1:3">
      <c r="A117" s="83" t="s">
        <v>227</v>
      </c>
      <c r="B117" s="84" t="s">
        <v>223</v>
      </c>
      <c r="C117" s="85" t="s">
        <v>228</v>
      </c>
    </row>
    <row r="118" spans="1:3">
      <c r="A118" s="60" t="s">
        <v>227</v>
      </c>
      <c r="B118" s="87"/>
      <c r="C118" s="86"/>
    </row>
    <row r="119" spans="1:3">
      <c r="A119" s="83" t="s">
        <v>159</v>
      </c>
      <c r="B119" s="84" t="s">
        <v>215</v>
      </c>
      <c r="C119" s="85" t="s">
        <v>259</v>
      </c>
    </row>
    <row r="120" spans="1:3">
      <c r="A120" s="60" t="s">
        <v>159</v>
      </c>
      <c r="B120" s="87"/>
      <c r="C120" s="86"/>
    </row>
    <row r="121" spans="1:3" ht="43.2">
      <c r="A121" s="83" t="s">
        <v>132</v>
      </c>
      <c r="B121" s="84" t="s">
        <v>223</v>
      </c>
      <c r="C121" s="85" t="s">
        <v>229</v>
      </c>
    </row>
    <row r="122" spans="1:3">
      <c r="A122" s="60" t="s">
        <v>132</v>
      </c>
      <c r="B122" s="87"/>
      <c r="C122" s="86"/>
    </row>
    <row r="123" spans="1:3" ht="28.8">
      <c r="A123" s="85" t="s">
        <v>139</v>
      </c>
      <c r="B123" s="84" t="s">
        <v>237</v>
      </c>
      <c r="C123" s="85" t="s">
        <v>238</v>
      </c>
    </row>
    <row r="124" spans="1:3">
      <c r="A124" s="60" t="s">
        <v>408</v>
      </c>
      <c r="B124" s="87"/>
      <c r="C124" s="86"/>
    </row>
    <row r="125" spans="1:3">
      <c r="A125" s="61" t="s">
        <v>408</v>
      </c>
      <c r="B125" s="94"/>
      <c r="C125" s="95"/>
    </row>
    <row r="126" spans="1:3">
      <c r="A126" s="83" t="s">
        <v>143</v>
      </c>
      <c r="B126" s="84" t="s">
        <v>233</v>
      </c>
      <c r="C126" s="85" t="s">
        <v>242</v>
      </c>
    </row>
    <row r="127" spans="1:3">
      <c r="A127" s="60" t="s">
        <v>143</v>
      </c>
      <c r="B127" s="87"/>
      <c r="C127" s="86"/>
    </row>
    <row r="128" spans="1:3">
      <c r="A128" s="60" t="s">
        <v>436</v>
      </c>
      <c r="B128" s="87"/>
      <c r="C128" s="86"/>
    </row>
    <row r="129" spans="1:3" ht="28.8">
      <c r="A129" s="85" t="s">
        <v>116</v>
      </c>
      <c r="B129" s="84" t="s">
        <v>213</v>
      </c>
      <c r="C129" s="85" t="s">
        <v>306</v>
      </c>
    </row>
    <row r="130" spans="1:3" ht="28.8">
      <c r="A130" s="85" t="s">
        <v>116</v>
      </c>
      <c r="B130" s="84" t="s">
        <v>190</v>
      </c>
      <c r="C130" s="85" t="s">
        <v>219</v>
      </c>
    </row>
    <row r="131" spans="1:3">
      <c r="A131" s="60" t="s">
        <v>348</v>
      </c>
      <c r="B131" s="87"/>
      <c r="C131" s="86"/>
    </row>
    <row r="132" spans="1:3" ht="43.2">
      <c r="A132" s="83" t="s">
        <v>107</v>
      </c>
      <c r="B132" s="84" t="s">
        <v>215</v>
      </c>
      <c r="C132" s="85" t="s">
        <v>216</v>
      </c>
    </row>
    <row r="133" spans="1:3">
      <c r="A133" s="83" t="s">
        <v>167</v>
      </c>
      <c r="B133" s="84" t="s">
        <v>190</v>
      </c>
      <c r="C133" s="83" t="s">
        <v>269</v>
      </c>
    </row>
    <row r="134" spans="1:3">
      <c r="A134" s="60" t="s">
        <v>167</v>
      </c>
      <c r="B134" s="87"/>
      <c r="C134" s="86"/>
    </row>
    <row r="135" spans="1:3" ht="28.8">
      <c r="A135" s="83" t="s">
        <v>153</v>
      </c>
      <c r="B135" s="84" t="s">
        <v>213</v>
      </c>
      <c r="C135" s="85" t="s">
        <v>253</v>
      </c>
    </row>
    <row r="136" spans="1:3">
      <c r="A136" s="83" t="s">
        <v>153</v>
      </c>
      <c r="B136" s="84" t="s">
        <v>288</v>
      </c>
      <c r="C136" s="85" t="s">
        <v>321</v>
      </c>
    </row>
    <row r="137" spans="1:3">
      <c r="A137" s="60" t="s">
        <v>153</v>
      </c>
      <c r="B137" s="87"/>
      <c r="C137" s="86"/>
    </row>
    <row r="138" spans="1:3" ht="28.8">
      <c r="A138" s="83" t="s">
        <v>133</v>
      </c>
      <c r="B138" s="84" t="s">
        <v>190</v>
      </c>
      <c r="C138" s="85" t="s">
        <v>230</v>
      </c>
    </row>
    <row r="139" spans="1:3">
      <c r="A139" s="60" t="s">
        <v>133</v>
      </c>
      <c r="B139" s="87"/>
      <c r="C139" s="86"/>
    </row>
    <row r="140" spans="1:3" ht="28.8">
      <c r="A140" s="85" t="s">
        <v>165</v>
      </c>
      <c r="B140" s="84" t="s">
        <v>325</v>
      </c>
      <c r="C140" s="85" t="s">
        <v>326</v>
      </c>
    </row>
    <row r="141" spans="1:3" ht="28.8">
      <c r="A141" s="85" t="s">
        <v>165</v>
      </c>
      <c r="B141" s="84" t="s">
        <v>265</v>
      </c>
      <c r="C141" s="85" t="s">
        <v>266</v>
      </c>
    </row>
    <row r="142" spans="1:3">
      <c r="A142" s="60" t="s">
        <v>165</v>
      </c>
      <c r="B142" s="87"/>
      <c r="C142" s="86"/>
    </row>
    <row r="143" spans="1:3">
      <c r="A143" s="60" t="s">
        <v>611</v>
      </c>
      <c r="B143" s="87"/>
      <c r="C143" s="86"/>
    </row>
    <row r="144" spans="1:3">
      <c r="A144" s="83" t="s">
        <v>135</v>
      </c>
      <c r="B144" s="84" t="s">
        <v>190</v>
      </c>
      <c r="C144" s="85" t="s">
        <v>232</v>
      </c>
    </row>
    <row r="145" spans="1:3">
      <c r="A145" s="60" t="s">
        <v>135</v>
      </c>
      <c r="B145" s="87"/>
      <c r="C145" s="86"/>
    </row>
    <row r="146" spans="1:3">
      <c r="A146" s="83" t="s">
        <v>158</v>
      </c>
      <c r="B146" s="84" t="s">
        <v>190</v>
      </c>
      <c r="C146" s="85" t="s">
        <v>258</v>
      </c>
    </row>
    <row r="147" spans="1:3">
      <c r="A147" s="60" t="s">
        <v>158</v>
      </c>
      <c r="B147" s="87">
        <v>42539</v>
      </c>
      <c r="C147" s="86" t="s">
        <v>675</v>
      </c>
    </row>
    <row r="148" spans="1:3">
      <c r="A148" s="60" t="s">
        <v>158</v>
      </c>
      <c r="B148" s="87"/>
      <c r="C148" s="86"/>
    </row>
    <row r="149" spans="1:3">
      <c r="A149" s="60" t="s">
        <v>446</v>
      </c>
      <c r="B149" s="87"/>
      <c r="C149" s="86"/>
    </row>
    <row r="150" spans="1:3" ht="28.8">
      <c r="A150" s="83" t="s">
        <v>0</v>
      </c>
      <c r="B150" s="84" t="s">
        <v>313</v>
      </c>
      <c r="C150" s="85" t="s">
        <v>314</v>
      </c>
    </row>
    <row r="151" spans="1:3">
      <c r="A151" s="83" t="s">
        <v>0</v>
      </c>
      <c r="B151" s="84" t="s">
        <v>311</v>
      </c>
      <c r="C151" s="85" t="s">
        <v>312</v>
      </c>
    </row>
    <row r="152" spans="1:3">
      <c r="A152" s="83" t="s">
        <v>0</v>
      </c>
      <c r="B152" s="84" t="s">
        <v>315</v>
      </c>
      <c r="C152" s="85" t="s">
        <v>316</v>
      </c>
    </row>
    <row r="153" spans="1:3">
      <c r="A153" s="83" t="s">
        <v>0</v>
      </c>
      <c r="B153" s="84" t="s">
        <v>221</v>
      </c>
      <c r="C153" s="85" t="s">
        <v>222</v>
      </c>
    </row>
    <row r="154" spans="1:3">
      <c r="A154" s="60" t="s">
        <v>0</v>
      </c>
      <c r="B154" s="87"/>
      <c r="C154" s="86"/>
    </row>
    <row r="155" spans="1:3">
      <c r="A155" s="60" t="s">
        <v>412</v>
      </c>
      <c r="B155" s="87"/>
      <c r="C155" s="86"/>
    </row>
    <row r="156" spans="1:3">
      <c r="A156" s="83" t="s">
        <v>151</v>
      </c>
      <c r="B156" s="84" t="s">
        <v>223</v>
      </c>
      <c r="C156" s="85" t="s">
        <v>251</v>
      </c>
    </row>
    <row r="157" spans="1:3">
      <c r="A157" s="60" t="s">
        <v>151</v>
      </c>
      <c r="B157" s="87"/>
      <c r="C157" s="86"/>
    </row>
    <row r="158" spans="1:3">
      <c r="A158" s="83" t="s">
        <v>141</v>
      </c>
      <c r="B158" s="84" t="s">
        <v>233</v>
      </c>
      <c r="C158" s="85" t="s">
        <v>240</v>
      </c>
    </row>
    <row r="159" spans="1:3">
      <c r="A159" s="60" t="s">
        <v>141</v>
      </c>
      <c r="B159" s="87">
        <v>42430</v>
      </c>
      <c r="C159" s="86"/>
    </row>
    <row r="160" spans="1:3">
      <c r="A160" s="60" t="s">
        <v>141</v>
      </c>
      <c r="B160" s="87"/>
      <c r="C160" s="86"/>
    </row>
    <row r="161" spans="1:3">
      <c r="A161" s="83" t="s">
        <v>318</v>
      </c>
      <c r="B161" s="84" t="s">
        <v>319</v>
      </c>
      <c r="C161" s="85" t="s">
        <v>320</v>
      </c>
    </row>
    <row r="162" spans="1:3" ht="28.8">
      <c r="A162" s="83" t="s">
        <v>129</v>
      </c>
      <c r="B162" s="84" t="s">
        <v>215</v>
      </c>
      <c r="C162" s="85" t="s">
        <v>225</v>
      </c>
    </row>
    <row r="163" spans="1:3">
      <c r="A163" s="60" t="s">
        <v>129</v>
      </c>
      <c r="B163" s="87"/>
      <c r="C163" s="86"/>
    </row>
    <row r="164" spans="1:3" ht="28.8">
      <c r="A164" s="83" t="s">
        <v>76</v>
      </c>
      <c r="B164" s="84" t="s">
        <v>205</v>
      </c>
      <c r="C164" s="85" t="s">
        <v>206</v>
      </c>
    </row>
    <row r="165" spans="1:3">
      <c r="A165" s="60" t="s">
        <v>76</v>
      </c>
      <c r="B165" s="87"/>
      <c r="C165" s="86"/>
    </row>
    <row r="166" spans="1:3" ht="28.8">
      <c r="A166" s="83" t="s">
        <v>200</v>
      </c>
      <c r="B166" s="84" t="s">
        <v>193</v>
      </c>
      <c r="C166" s="85" t="s">
        <v>280</v>
      </c>
    </row>
    <row r="167" spans="1:3">
      <c r="A167" s="83" t="s">
        <v>200</v>
      </c>
      <c r="B167" s="84" t="s">
        <v>190</v>
      </c>
      <c r="C167" s="85" t="s">
        <v>201</v>
      </c>
    </row>
    <row r="168" spans="1:3">
      <c r="A168" s="60" t="s">
        <v>200</v>
      </c>
      <c r="B168" s="87"/>
      <c r="C168" s="86"/>
    </row>
    <row r="169" spans="1:3" ht="28.8">
      <c r="A169" s="83" t="s">
        <v>97</v>
      </c>
      <c r="B169" s="84" t="s">
        <v>211</v>
      </c>
      <c r="C169" s="85" t="s">
        <v>212</v>
      </c>
    </row>
    <row r="170" spans="1:3">
      <c r="A170" s="60" t="s">
        <v>97</v>
      </c>
      <c r="B170" s="87"/>
      <c r="C170" s="86"/>
    </row>
    <row r="171" spans="1:3">
      <c r="A171" s="83" t="s">
        <v>173</v>
      </c>
      <c r="B171" s="84" t="s">
        <v>190</v>
      </c>
      <c r="C171" s="85" t="s">
        <v>277</v>
      </c>
    </row>
    <row r="172" spans="1:3">
      <c r="A172" s="60" t="s">
        <v>173</v>
      </c>
      <c r="B172" s="87"/>
      <c r="C172" s="86"/>
    </row>
    <row r="173" spans="1:3">
      <c r="A173" s="83" t="s">
        <v>134</v>
      </c>
      <c r="B173" s="84" t="s">
        <v>223</v>
      </c>
      <c r="C173" s="85" t="s">
        <v>231</v>
      </c>
    </row>
    <row r="174" spans="1:3">
      <c r="A174" s="60" t="s">
        <v>134</v>
      </c>
      <c r="B174" s="87"/>
      <c r="C174" s="86"/>
    </row>
    <row r="175" spans="1:3">
      <c r="A175" s="83" t="s">
        <v>136</v>
      </c>
      <c r="B175" s="84" t="s">
        <v>233</v>
      </c>
      <c r="C175" s="85" t="s">
        <v>234</v>
      </c>
    </row>
    <row r="176" spans="1:3">
      <c r="A176" s="60" t="s">
        <v>136</v>
      </c>
      <c r="B176" s="87"/>
      <c r="C176" s="86"/>
    </row>
    <row r="177" spans="1:3">
      <c r="A177" s="83" t="s">
        <v>175</v>
      </c>
      <c r="B177" s="84" t="s">
        <v>190</v>
      </c>
      <c r="C177" s="85" t="s">
        <v>279</v>
      </c>
    </row>
    <row r="178" spans="1:3">
      <c r="A178" s="60" t="s">
        <v>175</v>
      </c>
      <c r="B178" s="87"/>
      <c r="C178" s="86"/>
    </row>
    <row r="179" spans="1:3" ht="28.8">
      <c r="A179" s="83" t="s">
        <v>140</v>
      </c>
      <c r="B179" s="84" t="s">
        <v>190</v>
      </c>
      <c r="C179" s="85" t="s">
        <v>239</v>
      </c>
    </row>
    <row r="180" spans="1:3">
      <c r="A180" s="83" t="s">
        <v>140</v>
      </c>
      <c r="B180" s="84">
        <v>42775</v>
      </c>
      <c r="C180" s="86"/>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Çalışma Sayfaları</vt:lpstr>
      </vt:variant>
      <vt:variant>
        <vt:i4>6</vt:i4>
      </vt:variant>
    </vt:vector>
  </HeadingPairs>
  <TitlesOfParts>
    <vt:vector size="6" baseType="lpstr">
      <vt:lpstr>ARAMA</vt:lpstr>
      <vt:lpstr>Musteri</vt:lpstr>
      <vt:lpstr>Genel Bilgiler</vt:lpstr>
      <vt:lpstr>Teklifler</vt:lpstr>
      <vt:lpstr>Siparisler</vt:lpstr>
      <vt:lpstr>Gorusmeler</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dc:creator>
  <cp:lastModifiedBy>w</cp:lastModifiedBy>
  <dcterms:created xsi:type="dcterms:W3CDTF">2016-06-01T07:17:52Z</dcterms:created>
  <dcterms:modified xsi:type="dcterms:W3CDTF">2016-08-18T10:39:54Z</dcterms:modified>
</cp:coreProperties>
</file>